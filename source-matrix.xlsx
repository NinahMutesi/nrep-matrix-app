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ak/Desktop/Belli Advisory/Projects/M&amp;E/NREP/"/>
    </mc:Choice>
  </mc:AlternateContent>
  <xr:revisionPtr revIDLastSave="0" documentId="13_ncr:1_{C1F42C48-B5CD-F14B-BF57-E330EC6595E2}" xr6:coauthVersionLast="47" xr6:coauthVersionMax="47" xr10:uidLastSave="{00000000-0000-0000-0000-000000000000}"/>
  <bookViews>
    <workbookView xWindow="220" yWindow="640" windowWidth="28580" windowHeight="16020" activeTab="1" xr2:uid="{83981DE2-2547-0840-BB73-9F63D66A4569}"/>
  </bookViews>
  <sheets>
    <sheet name="Theory of Change" sheetId="7" r:id="rId1"/>
    <sheet name="Plan" sheetId="3" r:id="rId2"/>
    <sheet name="Plan_Sorted_Timeline" sheetId="6"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3" l="1"/>
  <c r="M55" i="3" l="1"/>
  <c r="M44" i="3"/>
  <c r="M7" i="3"/>
  <c r="L51" i="3"/>
  <c r="M49" i="3" s="1"/>
  <c r="M27" i="3"/>
  <c r="L6" i="3"/>
  <c r="M4" i="3" s="1"/>
  <c r="L89" i="3"/>
  <c r="M86" i="3" s="1"/>
  <c r="L85" i="3"/>
  <c r="M82" i="3" s="1"/>
  <c r="L81" i="3"/>
  <c r="M75" i="3" s="1"/>
  <c r="L74" i="3"/>
  <c r="M72" i="3" s="1"/>
  <c r="L71" i="3"/>
  <c r="M68" i="3" s="1"/>
  <c r="L67" i="3"/>
  <c r="M65" i="3" s="1"/>
  <c r="L64" i="3"/>
  <c r="M61" i="3" s="1"/>
  <c r="L60" i="3"/>
  <c r="M56" i="3" s="1"/>
  <c r="L54" i="3"/>
  <c r="M52" i="3" s="1"/>
  <c r="L48" i="3"/>
  <c r="M45" i="3" s="1"/>
  <c r="M41" i="3"/>
  <c r="L40" i="3"/>
  <c r="M38" i="3" s="1"/>
  <c r="L37" i="3"/>
  <c r="M34" i="3" s="1"/>
  <c r="L33" i="3"/>
  <c r="M31" i="3" s="1"/>
  <c r="L17" i="3"/>
  <c r="M15" i="3" s="1"/>
  <c r="M89" i="3" l="1"/>
  <c r="N72" i="3" s="1"/>
  <c r="M71" i="3"/>
  <c r="N52" i="3" s="1"/>
  <c r="M51" i="3"/>
  <c r="N41" i="3" s="1"/>
  <c r="M40" i="3"/>
  <c r="N31" i="3" s="1"/>
  <c r="K30" i="3"/>
  <c r="L20" i="3"/>
  <c r="L10" i="3"/>
  <c r="M8" i="3" s="1"/>
  <c r="L21" i="3" l="1"/>
  <c r="M18" i="3" s="1"/>
  <c r="L14" i="3"/>
  <c r="M11" i="3" s="1"/>
  <c r="L26" i="3" l="1"/>
  <c r="M22" i="3" s="1"/>
  <c r="L28" i="3"/>
  <c r="L30" i="3" l="1"/>
  <c r="M28" i="3" s="1"/>
  <c r="M30" i="3" s="1"/>
  <c r="N4" i="3" s="1"/>
  <c r="N30" i="3" s="1"/>
</calcChain>
</file>

<file path=xl/sharedStrings.xml><?xml version="1.0" encoding="utf-8"?>
<sst xmlns="http://schemas.openxmlformats.org/spreadsheetml/2006/main" count="777" uniqueCount="233">
  <si>
    <t>Strategic Objective</t>
  </si>
  <si>
    <t>Responsibility</t>
  </si>
  <si>
    <t>Outcome Indicators</t>
  </si>
  <si>
    <t xml:space="preserve">Activities </t>
  </si>
  <si>
    <t>Result Area</t>
  </si>
  <si>
    <t>To enhance the competitiveness of local
actors while mobilizing additional
investment for public institutions and
private sector organizations in the market
of domestic, industrial, and commercial
RE&amp;EE.</t>
  </si>
  <si>
    <t>Output Indicators</t>
  </si>
  <si>
    <t>Output 1.1
Advancement in clean cooking energy
adoption</t>
  </si>
  <si>
    <t>Output 1.2
Upscaling of Productive Use of Energy (PUE)</t>
  </si>
  <si>
    <t>Output 1.3
Rural electrification through Off-grid systems</t>
  </si>
  <si>
    <t>5-year targets</t>
  </si>
  <si>
    <t>Outcome 1: Increased adoption of renewable energy
and efficiency investment.</t>
  </si>
  <si>
    <t>Target 1.1.1
At least 6,000 electric pressure, solar and bio-ethanol cookers sold
annually</t>
  </si>
  <si>
    <t>Target 1.1.2
At least 2 local production facilities clean cooking appliances (EPCs,
Bio-ethanol cookers &amp; Solar cookers)</t>
  </si>
  <si>
    <t>Target 1.2.1
At least 100 PUE investments established annually</t>
  </si>
  <si>
    <t>Target 1.3.1
At least 5 mini-grid clusters are licensed annually</t>
  </si>
  <si>
    <t>Short-term</t>
  </si>
  <si>
    <t>Short-&amp;
Medium-term</t>
  </si>
  <si>
    <t>Medium-&amp; Longterm</t>
  </si>
  <si>
    <t>UNACC &amp; WREAU</t>
  </si>
  <si>
    <t>MEMD</t>
  </si>
  <si>
    <t>Target 1.3.2
At least 5MW equivalent stand-alone solar home systems installed
annually</t>
  </si>
  <si>
    <t xml:space="preserve">Short-&amp;
Medium-term </t>
  </si>
  <si>
    <t>USEA &amp; UNREEA</t>
  </si>
  <si>
    <t>Output 1.4
Accelerated adoption of Net-metering
Scheme</t>
  </si>
  <si>
    <t>Target 1.4.1
At least 4 Net- metering pilot projects established</t>
  </si>
  <si>
    <t>Target 1.4.2
Comprehensive analysis of national grid infrastructure stability (for
Net-metering, E-cooking &amp; E-mobility)</t>
  </si>
  <si>
    <t>Target 1.4.3
At least 50 Net-metering projects established annually</t>
  </si>
  <si>
    <t>Medium-term</t>
  </si>
  <si>
    <t>PSFU &amp; UMA</t>
  </si>
  <si>
    <t>Output 1.5
Production of biofuels for industrial scale
utilization</t>
  </si>
  <si>
    <t xml:space="preserve">Target 1.5.1
At least 2 biofuel production facilities established annually
</t>
  </si>
  <si>
    <t xml:space="preserve">Target 1.5.2
At least 10% of biofuel produced blended annually  </t>
  </si>
  <si>
    <t>Output 1.6
Waste to Energy deployment</t>
  </si>
  <si>
    <t>Target 6.1.1
At least 2 landfills used for energy generation</t>
  </si>
  <si>
    <t>Target 1.6.2
At least 1,500 domestic biogas systems installed annually</t>
  </si>
  <si>
    <t>Target 1.6.3
At least 5 commercial and industrial waste to energy facilities installed
annually</t>
  </si>
  <si>
    <t>UNBA</t>
  </si>
  <si>
    <t>Output 1.7
Deployment of nascent energy options</t>
  </si>
  <si>
    <t>Target 1.7.1
At least 2 floating solar systems installed</t>
  </si>
  <si>
    <t>Target 1.7.2
At least 1 facility for local production of green hydrogen</t>
  </si>
  <si>
    <t>Target 1.7.3
At least 1 pilot utilization of geothermal energy</t>
  </si>
  <si>
    <t>Target 1.7.4
At least 1,000 units of E- and Hybrid-mobility added to the transport
sector</t>
  </si>
  <si>
    <t>MEMD &amp; MoWT</t>
  </si>
  <si>
    <t>Output 1.8
Adoption of energy conservation practices for
the design, construction, and utilization of
RE&amp;EE facilities.</t>
  </si>
  <si>
    <t>Target 1.2.1
Incorporate RE&amp;EE considerations in building, transport, and work
safety codes</t>
  </si>
  <si>
    <t>MoWT (for Transport &amp;
work safety)
MoLHUD (for buildings)</t>
  </si>
  <si>
    <t>Output 1.9
Accelerated adoption of net-zero buildings in
the country</t>
  </si>
  <si>
    <t>Target 1.9.1
At least 5 net-zero buildings constructed in the country</t>
  </si>
  <si>
    <t>Target 1.9.2
At least 6 benchmarking visits annually</t>
  </si>
  <si>
    <t>Medium -&amp; longterm</t>
  </si>
  <si>
    <t>Long-term</t>
  </si>
  <si>
    <t>MoLHUD</t>
  </si>
  <si>
    <t>Result 2: Knowledge Hub and robust information
management system.</t>
  </si>
  <si>
    <t>Result 1: Net zero energy NREP Museum.</t>
  </si>
  <si>
    <t>Outcome 2: Enhanced recognition of NREP and
utilization of RE&amp;EE data and knowledge
management system.</t>
  </si>
  <si>
    <t>Objective 2: To provide a One-stop Center for
RE&amp;EE data and information to support
planning, policy, R&amp;D, market growth
and trend forecasting.</t>
  </si>
  <si>
    <t>Output 2.1
Data management and
consolidation</t>
  </si>
  <si>
    <t>Target 2.1.1
Development of a robust information management system for RE&amp;EE sector</t>
  </si>
  <si>
    <t>Target 2.1.2
Mandatory sharing of RE&amp;EE sector data and information by stakeholders</t>
  </si>
  <si>
    <t>Short-&amp; Medium-term</t>
  </si>
  <si>
    <t>CREEC</t>
  </si>
  <si>
    <t>Output 2.2
R&amp;D enhancement to support
the RE&amp;EE sector</t>
  </si>
  <si>
    <t>Target 2.2.1
At least 20% increment in R&amp;D related to RE&amp;EE by tertiary institutions</t>
  </si>
  <si>
    <t>Target 2.2.2
At least 25% increment in the foreign investment in the RE&amp;EE sector</t>
  </si>
  <si>
    <t>Target 2.2.3
At least 100 daily visits of the RE&amp;EE information management system</t>
  </si>
  <si>
    <t>Short- &amp; Medium-term</t>
  </si>
  <si>
    <t>Academic Institutions</t>
  </si>
  <si>
    <t>UIA &amp; MEMD</t>
  </si>
  <si>
    <t>Output 2.3
Donor investment in RE&amp;EE
data and information
gathering</t>
  </si>
  <si>
    <t>Target 2.3.1
At least 1 annual RE&amp;EE data and information collecting initiative</t>
  </si>
  <si>
    <t>Target 2.3.2
At least 2 data and information sharing events sponsored annually</t>
  </si>
  <si>
    <t>Result 3: RE&amp;EE Project Preparation Facility</t>
  </si>
  <si>
    <t>Outcome 3: RE&amp;EE business start-up and
entrepreneurship support</t>
  </si>
  <si>
    <t>Objective 3: To provide differentiated support to
entrepreneurial RE&amp;EE businesses
across the enterprise development life
cycle (start-up, early-stage, growth, and
maturity)</t>
  </si>
  <si>
    <t>Output 3.1
Project preparation Technical Assistance
(TA) to support companies to progress until
achieving financial close</t>
  </si>
  <si>
    <t>Target 3.1.1
At least 10 RE&amp;EE businesses are supported annually</t>
  </si>
  <si>
    <t>Target 3.1.2
At least 2 existing businesses per year extend their portfolio to
include sustainable energy</t>
  </si>
  <si>
    <t>Short-&amp; Mediumterm</t>
  </si>
  <si>
    <t>Medium-&amp; Long-term</t>
  </si>
  <si>
    <t>UECCC</t>
  </si>
  <si>
    <t>UNREEEA &amp; members</t>
  </si>
  <si>
    <t>Output 3.2
Financial support in the Energy sector to
increase RE&amp;EE business opportunities for
local companies and industry.</t>
  </si>
  <si>
    <t>Target 3.2.1
At least 10 million USD of new loans and co-financing grants to local
SMEs and NGOs annually</t>
  </si>
  <si>
    <t>Bank of Uganda</t>
  </si>
  <si>
    <t>Output 3.3
Access to finance via different
instruments, including connecting with
existing financing facilities</t>
  </si>
  <si>
    <t>Target 3.3.1
At least 2 investment forums are conducted annually</t>
  </si>
  <si>
    <t>Target 3.3.2
At least 3 million USD lent to RE&amp;EE sector local businesses</t>
  </si>
  <si>
    <t>Target 3.3.3
Just and patient facilities with flexible ticket sizes established by
financing institutions</t>
  </si>
  <si>
    <t>Uganda Bankers’
Association</t>
  </si>
  <si>
    <t>Output 3.4
Support for improvement of the policy and
regulatory frameworks and business
enabling environment both at the regional
and national levels.</t>
  </si>
  <si>
    <t>Target 3.4.1
At least 2 TAs conducted to support inputs from private sector
associations to the policy and regulatory framework regarding the
national sustainable energy business environment.</t>
  </si>
  <si>
    <t>Short-&amp; Medium term</t>
  </si>
  <si>
    <t>Output 3.5
Access to financing via different
instruments facilitated</t>
  </si>
  <si>
    <t>Target 3.5.1
At least USD 10 million is available for RE&amp;EE investment in the
country</t>
  </si>
  <si>
    <t>Result 4: Regional RE&amp;EE Centers and Energy
Modelling and Integration Virtual
Laboratory</t>
  </si>
  <si>
    <t>Objective 4: A comprehensive Energy readiness
programme that best prepares
stakeholders for their respective
sustainable energy futures.</t>
  </si>
  <si>
    <t>Outcome 4: Development of domesticated RE&amp;EE
systems, research, piloting, and
enhanced RE&amp;EE modelling skills and
knowledge</t>
  </si>
  <si>
    <t>Output 4.1
Central sustainable e-mobility policy
and regulatory framework</t>
  </si>
  <si>
    <t>Target 4.1.1
Government includes low carbon mobility / EV targets in their
Energy/GHG targets</t>
  </si>
  <si>
    <t>Target 4.1.2
Government includes EE in transport and EV in their energy
roadmaps, NDCs, and Low Emissions Development Strategies</t>
  </si>
  <si>
    <t>Science, Technology and
Innovation (STI) Secretariat</t>
  </si>
  <si>
    <t>STI Secretariat</t>
  </si>
  <si>
    <t>Output 4.2
Empowerment of local institutions
and private sector through capacity
building and reinforced networks and
partnerships between stakeholders.</t>
  </si>
  <si>
    <t>Target 4.2.1
Affirmative action that necessitates twinning of local and
foreign mini-grid developers for mini-grid projects in the
country</t>
  </si>
  <si>
    <t>Output 4.3
Awareness Raising and Promotion.</t>
  </si>
  <si>
    <t>Target 4.3.1
A social and marketing research on RE&amp;EE is conducted in at
least 3 tertiary institutions</t>
  </si>
  <si>
    <t>Target 4.3.2
At least 3 awareness and promotion campaigns on RE&amp;EE
completed annually</t>
  </si>
  <si>
    <t>Target 4.3.3
Model guideline on e-mobility purchase, charging, servicing,
and support developed, published, and promoted</t>
  </si>
  <si>
    <t>Target 4.3.4
At least 6 RE&amp;EE barazas organized annually</t>
  </si>
  <si>
    <t>UNREEEA</t>
  </si>
  <si>
    <t>NREP Secretariat</t>
  </si>
  <si>
    <t>Output 4.4
RE&amp;EE Demonstration and Upscale.</t>
  </si>
  <si>
    <t>Target 4.4.1
At least 2 demos for E-mobility held annually</t>
  </si>
  <si>
    <t>Target 4.4.2
At least 2 demos for clean cooking held annually</t>
  </si>
  <si>
    <t>Target 4.4.3
At least 2 demos for productive use of energy held annually</t>
  </si>
  <si>
    <t>UNACC</t>
  </si>
  <si>
    <t>USEA</t>
  </si>
  <si>
    <t>Output 4.5
RE&amp;EE Capacity Building and
Skilling.</t>
  </si>
  <si>
    <t>Target 4.5.1
At least RE&amp;EE course introduced major tertiary institutions</t>
  </si>
  <si>
    <t>Target 4.5.2
At least 3 technical capacity building sessions held annually</t>
  </si>
  <si>
    <t>Output 4.6
RE&amp;EE sector research agenda.</t>
  </si>
  <si>
    <t>Target 4.6.1
At least 2 industry-based research programmes developed by
tertiary institutions</t>
  </si>
  <si>
    <t>Target 4.6.2
At least 6 research for industry and policy conducted annually</t>
  </si>
  <si>
    <t>Target 4.6.3
At least 12 research for industry and policy dialogues held
annually</t>
  </si>
  <si>
    <t>Result 5: Renewable Energy Act for Uganda</t>
  </si>
  <si>
    <t>Outcome 5: Enhanced uptake of RE&amp;EE systems
for productive use of energy and mini-grids
development</t>
  </si>
  <si>
    <t>Objective 5: Increased clean energy access and
improved livelihoods for communities
through technically sound mini-grid
systems.</t>
  </si>
  <si>
    <t>Output 5.1
Market intelligence;
enhanced awareness of minigrid
market and strengthen
market knowledge through
market intelligence
development.</t>
  </si>
  <si>
    <t>Target 5.1.1
Development of mini-grids’ development procedure guidelines</t>
  </si>
  <si>
    <t>Target 5.1.2
Development of a mini-grids’ database for the country</t>
  </si>
  <si>
    <t>Output 5.2
Adoption of codes, standards,
regulations and labelling</t>
  </si>
  <si>
    <t>Target 5.2.1
Adoption of RE&amp;EE standards and labelling for clean cooking appliances</t>
  </si>
  <si>
    <t>Target 5.2.2
Adoption of RE&amp;EE standards and regulations for mini-grids</t>
  </si>
  <si>
    <t>Target 5.2.3
Adoption of RE&amp;EE standards and labelling for productive use of energy
appliances</t>
  </si>
  <si>
    <t>Target 5.2.4
Adoption of RE&amp;EE standards and regulations for agrivoltaic systems</t>
  </si>
  <si>
    <t>Target 5.2.5
Adoption of a ethical and consumer protection code</t>
  </si>
  <si>
    <t>Target 5.2.6
Certification of RE&amp;EE technicians, artisans, and other actors</t>
  </si>
  <si>
    <t>MEMD &amp; UNBS</t>
  </si>
  <si>
    <t>ERA</t>
  </si>
  <si>
    <t>UNBS</t>
  </si>
  <si>
    <t>MAAIF &amp; MEMD</t>
  </si>
  <si>
    <t>Output 5.3
Increased entrepreneurship
through productive uses of
energy</t>
  </si>
  <si>
    <t>Target 5.3.1
At least 10 RE&amp;EE micro and SMEs established upcountry</t>
  </si>
  <si>
    <t>Target 5.3.2
At least 10% increase in women participation and investment in RE&amp;EE sector</t>
  </si>
  <si>
    <t>Target 5.3.3
At least 20% annual increment in RE&amp;EE jobs created</t>
  </si>
  <si>
    <t>OUMA/Open Capital</t>
  </si>
  <si>
    <t>Output 5.4
Renewable Energy sector
mainstreaming</t>
  </si>
  <si>
    <t>Target 5.4.1
Development of the Renewable Energy Act for Uganda</t>
  </si>
  <si>
    <t>Target 5.4.2
At least 2 stakeholders’ engagements on RE&amp;EE regulation held annually</t>
  </si>
  <si>
    <t xml:space="preserve"> Target 5.4.3
At least 4 policy briefs on RE&amp;EE developed annually</t>
  </si>
  <si>
    <t>Development Partners
&amp; Private Sector Actors</t>
  </si>
  <si>
    <t>Medium-&amp; Long term</t>
  </si>
  <si>
    <t>DIT</t>
  </si>
  <si>
    <t>Lead Organization</t>
  </si>
  <si>
    <t>Timeline</t>
  </si>
  <si>
    <t>5.4.3.1.      Research and Data Collection on RE &amp; EE Policy Gaps
5.4.3.2.      Multi-Stakeholder Consultations for Policy Development
5.4.3.3.      Technical Expert Working Groups on RE &amp; EE
5.4.3.4.      Policy Analysis and Benchmarking Against Global Best Practices
5.4.3.5.      Engagement of Policymakers and Legislators in RE &amp; EE Advocacy
5.4.3.6.      Publication and Dissemination of Policy Briefs</t>
  </si>
  <si>
    <t>5.4.2.1.      Annual Renewable Energy Policy Forums
5.4.2.2.      Multi-Stakeholder Consultative Workshops on RE &amp; EE Regulations
5.4.2.3.      Capacity-Building Training for Policymakers and Regulators
5.4.2.4.      Public-Private Dialogue Sessions on RE Investment and Regulation
5.4.2.5.      Technical Roundtable Discussions on RE &amp; EE Policy Implementation
5.4.2.6.      Stakeholder Engagement via Online Platforms and Webinars</t>
  </si>
  <si>
    <t>5.4.1.1.      Stakeholder Consultations and Policy Dialogues
5.4.1.2.      Legal and Institutional Capacity Building for Renewable Energy
5.4.1.3.      Technical Assistance for Drafting the Renewable Energy Act
5.4.1.4.      Public Awareness Campaign on Renewable Energy Legislation
5.4.1.5.      Renewable Energy Sector Research and Policy Analysis
5.4.1.6.      Formation of a Multi-Sectoral Task Force for Renewable Energy</t>
  </si>
  <si>
    <t>5.3.3.1.      Establishment of Renewable Energy Training Centers
5.3.3.2.      Partnerships with Universities and Technical Colleges
5.3.3.3.      Local Manufacturing and Assembly of RE &amp; EE Products
5.3.3.4.      Women’s Energy Entrepreneur Networks and Funding Programs
5.3.3.5.      Incentive Programs for Green Startups
5.3.3.6.      Community-based Renewable Energy Projects</t>
  </si>
  <si>
    <t>5.3.2.1.      Capacity Building and Training Programs
5.3.2.2.      Access to Finance for Women Entrepreneurs
5.3.2.3.      Awareness Campaigns on Women’s Role in Clean Energy
5.3.2.4.      Women-focused Networking and Mentorship Platforms
5.3.2.5.      Promotion of Women-led Energy Innovation Hubs
5.3.2.6.      Integration of Women into RE &amp; EE Supply Chains</t>
  </si>
  <si>
    <t>5.3.1.1.      RE &amp; EE Business Incubators and Accelerators
5.3.1.2.      Microloans and Grants for RE &amp; EE Startups
5.3.1.3.      Capacity Building Workshops for Upcountry Entrepreneurs
5.3.1.4.      Establishment of Regional RE &amp; EE Product Distribution Networks
5.3.1.5.      Public-Private Partnerships for Off-Grid Energy Solutions
5.3.1.6.      Local RE &amp; EE Product Development Competitions</t>
  </si>
  <si>
    <t>5.2.6.1.      Development of RE &amp; EE Certification Standards
5.2.6.2.      Accreditation of Training Institutions
5.2.6.3.      Capacity Building and Skills Development Programs
5.2.6.4.      Implementation of a Certification and Licensing Framework
5.2.6.5.      Awareness and Industry Engagement Campaigns
5.2.6.6.      Monitoring, Compliance, and Recertification Mechanisms</t>
  </si>
  <si>
    <t>5.2.5.1.      Development of an Ethical and Consumer Protection Code
5.2.5.2.      Stakeholder Consultations and Public Engagement
5.2.5.3.      Legislative and Regulatory Framework Development
5.2.5.4.      Consumer Awareness and Education Campaigns
5.2.5.5.      Compliance Monitoring and Certification Program
5.2.5.6.      Dispute Resolution and Consumer Redress Mechanisms</t>
  </si>
  <si>
    <t>5.2.4.1.      Development and Harmonization of Agrivoltaic Standards
5.2.4.2.      Formulation of Agrivoltaic Regulatory Framework
5.2.4.3.      Testing and Certification of Agrivoltaic Components
5.2.4.4.      Implementation of an Agrivoltaic Labeling and Performance Rating System""
5.2.4.5.      Capacity Building and Stakeholder Engagement
5.2.4.6.      Monitoring, Compliance, and Market Surveillance</t>
  </si>
  <si>
    <t>5.2.3.1.      Development and Harmonization of PUE Appliance Standards
5.2.3.2.      Implementation of an Energy Efficiency Labeling System
5.2.3.3.      Testing and Certification of PUE Appliances
5.2.3.4.      Policy and Regulatory Framework Development
5.2.3.5.      Capacity Building and Stakeholder Awareness Campaigns
5.2.3.6.      Market Surveillance and Compliance Monitoring</t>
  </si>
  <si>
    <t>5.2.2.1.      Development and Harmonization of Mini-Grid Standards
5.2.2.2.      Formulation of Mini-Grid Regulatory Framework
5.2.2.3.      Establishment of Mini-Grid Performance and Efficiency Benchmarks
5.2.2.4.      Implementation of Quality Assurance and Certification Programs
5.2.2.5.      Capacity Building and Stakeholder Training
5.2.2.6.      Monitoring, Compliance, and Enforcement Mechanisms</t>
  </si>
  <si>
    <t>5.2.1.1.      Development and Harmonization of Clean Cooking Standards
5.2.1.2.      Testing and Certification of Clean Cooking Appliances
5.2.1.3.      Policy and Regulatory Framework Development
5.2.1.4.      Stakeholder Engagement and Capacity Building
5.2.1.5.      Implementation of an Energy Labeling Program
5.2.1.6.      Monitoring, Compliance, and Market Surveillance</t>
  </si>
  <si>
    <t>5.1.2.2.      Stakeholder Data Collection and Verification
5.1.2.3.      Creation of an Online Mini-Grid Information Portal
5.1.2.4.      Market Trends and Demand Analysis
5.1.2.5.      Capacity Building and Awareness Campaigns</t>
  </si>
  <si>
    <t>5.1.1.1.      Market Assessment and Feasibility Studies
5.1.1.2.      Stakeholder Engagement and Consultations
5.1.1.3.      Policy and Regulatory Review for Mini-Grids
5.1.1.4.      Data Collection and Analysis on Mini-Grid Performance
5.1.1.5.      Knowledge-Sharing Platforms and Information Dissemination
5.1.1.6.      Capacity Building and Training for Developers and Policymakers
5.1.2.1.      Comprehensive Mini-Grid Mapping and Inventory</t>
  </si>
  <si>
    <t>4.6.3.1.      Organize Monthly Industry-Policy Research Dialogues
4.6.3.2.      Develop a Research Dialogue Platform for Ongoing Collaboration
4.6.3.3.      Facilitate Cross-Sectoral Dialogues on Policy Challenges and Solutions
4.6.3.4.      Host Thematic Research Roundtables and Workshops 
4.6.3.5.      Create an Annual RE &amp; EE Policy Research Forum
4.6.3.6.      Monitor and Document Outcomes of Research Dialogues.</t>
  </si>
  <si>
    <t>4.6.2.1.      Establish Research Priorities in Collaboration with Stakeholders
4.6.2.2.      Create a Research Fund to Support Industry and Policy Studies
4.6.2.3.      Develop Research Partnerships between Academia and Industry
4.6.2.4.      Conduct Sector-Specific Policy Research and Analysis
4.6.2.5.      Facilitate Annual Research Symposiums and Conferences
4.6.2.6.      Monitor and Evaluate the Impact of Research on Policy and Industry Practices</t>
  </si>
  <si>
    <t>4.6.1.1.      Collaboration with Industry Stakeholders to Identify Research Gaps
4.6.1.2.      Development of Industry-Specific Research Programs
4.6.1.3.      Creation of Research Funding and Grant Mechanisms
4.6.1.4.      Facilitation of Collaborative Research Networks 
4.6.1.5.      Integration of Industry Insights into Tertiary Education Curriculum
4.6.1.6.      Monitoring, Evaluation, and Dissemination of Research Outcomes</t>
  </si>
  <si>
    <t>4.5.2.1.      Development of a Comprehensive Technical Training Program
4.5.2.2.      Engagement with Industry Experts for Knowledge Sharing
4.5.2.3.      Hosting Regional or National RE &amp; EE Workshops
4.5.2.4.      Collaboration with Technical Institutions and Vocational Training Centers
4.5.2.5.      Promotion of Technical Capacity Building through Online Platforms 
4.5.2.6.      Monitoring and Impact Assessment of Training Effectiveness</t>
  </si>
  <si>
    <t>4.5.1.1.      Collaboration with Tertiary Institutions to Develop Curriculum
4.5.1.2.      Establishment of RE &amp; EE Training Centers and Labs
4.5.1.3.      Faculty Capacity Building through Workshops and Training
4.5.1.4.      Industry Collaboration for Internship and Practical Experience
4.5.1.5.      Promotion and Awareness Campaigns for RE &amp; EE Programs
4.5.1.6.      Monitoring and Evaluation of Course Effectiveness and Industry Alignment</t>
  </si>
  <si>
    <t>4.4.3.1.      Organize Productive Use of Energy Demonstration Events
4.4.3.2.      Partnership with Technology Providers and Local Entrepreneurs 
4.4.3.3.      Hands-on Workshops and Training for Local Entrepreneurs 
4.4.3.4.      Engage Key Stakeholders through Networking Events
4.4.3.5.      Promotion and Publicity of Productive Use Demonstrations
4.4.3.6.      Impact Monitoring and Data Collection for Future Scaling</t>
  </si>
  <si>
    <t>4.4.2.1.      Organize Clean Cooking Demonstration Events
4.4.2.2.      Collaboration with Clean Cooking Technology Providers
4.4.2.3.      Engage Local Communities and Stakeholders in Demos 
4.4.2.4.      Conduct Educational Sessions and Cooking Trials
4.4.2.5.      Promote Clean Cooking Demos through Media and Community Networks
4.4.2.6.      Monitoring and Impact Assessment of Clean Cooking Demos</t>
  </si>
  <si>
    <t xml:space="preserve">4.4.1.1.      Organize E-Mobility Demonstration Events
4.4.1.2.      Collaboration with E-Mobility Manufacturers and Charging Infrastructure Providers
4.4.1.3.      Engage Stakeholders through Interactive Sessions
4.4.1.4.      Publicity and Awareness Campaigns for E-Mobility Demos 
4.4.1.5.      Support for Local Authorities and Businesses to Host Demos
4.4.1.6.      Monitoring and Evaluation of Demo Impact </t>
  </si>
  <si>
    <t>4.3.4.1.      Planning and Coordination of RE &amp; EE Barazas
4.3.4.2.      Community Mobilization and Stakeholder Engagement
4.3.4.3.      Expert-Led Discussions and Demonstrations
4.3.4.4.      Production and Distribution of RE &amp; EE Educational Materials
4.3.4.5.      Collaboration with Media for Wider Reach
4.3.4.6.      Monitoring and Impact Assessment of Baraza Outcomes</t>
  </si>
  <si>
    <t>4.3.3.1.      Development of the E-Mobility Model Guideline
4.3.3.2.      Stakeholder Consultations and Validation Workshops
4.3.3.3.      Publication and Distribution of the Guideline
4.3.3.4.      Public Awareness Campaigns on E-Mobility Best Practices
4.3.3.5.      Capacity Building for EV Dealers, Charging Station Operators, and Service Providers
4.3.3.6.      Monitoring and Evaluation of Adoption and Impact</t>
  </si>
  <si>
    <t>4.3.2.1      Development of a National RE &amp; EE Awareness Campaign Strategy
4.3.2.2      Organization of Public Awareness Events and Community Engagements
4.3.2.3      Production and Dissemination of RE &amp; EE Educational Materials
4.3.2.4      Collaboration with Influencers, Media, and Industry Stakeholders
4.3.2.5      Implementation of School and University Outreach Programs
4.3.2.6      Monitoring and Evaluation of Awareness Campaign Impact</t>
  </si>
  <si>
    <t>4.3.1      Collaboration with Tertiary Institutions for Research Design and Implementation
4.3.2      Capacity Building for Students and Researchers on RE &amp; EE Market Analysis
4.3.3      Survey and Data Collection on RE &amp; EE Awareness and Adoption
4.3.4      Public Dissemination of Research Findings through Conferences and Publications
4.3.5      Development of Targeted Awareness Campaigns Based on Research Insights
4.3.6      Policy Engagement to Integrate Research Findings into National RE &amp; EE Strategies</t>
  </si>
  <si>
    <t>4.2.1      Development of a Mini-Grid Twinning Policy and Guidelines
4.2.2      Creation of a National Mini-Grid Developer Database and Matchmaking Platform
4.2.3      Capacity Building Programs for Local Mini-Grid Developers
4.2.4      Facilitation of Public-Private Dialogue on Mini-Grid Development
4.2.5     Access to Finance and Business Development Support for Local Developers
4.2.6      Monitoring and Evaluation of Twinning Implementation and Impact</t>
  </si>
  <si>
    <t>4.1.2.1      Drafting and Adoption of a National E-Mobility and EE Transport Policy
4.1.2.2      Integration of EE Transport and EV Targets into National Energy and Climate Plans
4.1.2.3     Development of Incentive Programs for EV Adoption and EE Transport Solutions
4.1.2.4      Stakeholder Consultations and Public-Private Partnerships for Policy Alignment
4.1.2.5      Capacity Building and Technical Assistance for Policymakers and Regulators
4.1.2.6      Establishment of a National Monitoring and Reporting Framework for EE and EV Integration</t>
  </si>
  <si>
    <t>4.1.1     Development of a National E-Mobility Policy and Regulatory Framework
4.1.2     Integration of E-Mobility Targets into National Energy and Climate Plans
4.1.3      Establishment of Incentives for EV Adoption and Infrastructure Development
4.1.4      Technical Assistance for Government Agencies on EV Policy Implementation 
4.1.5      Stakeholder Engagement and Public Consultations on E-Mobility Regulations
4.1.6      Monitoring and Evaluation of E-Mobility Policy Impact</t>
  </si>
  <si>
    <t>3.4.1.1.      Organization of Stakeholder Consultations with Private Sector 
Associations
3.4.1.2.      Technical Assistance for Policy Review and Recommendations
3.4.1.3.      Development of Policy Briefs and Position Papers 
3.4.1.4.      Capacity Building for Private Sector Associations on Policy Advocacy
3.4.1.5.      Facilitation of Public-Private Partnerships (PPPs) for Policy Co-Creation 
3.4.1.6.      Monitoring and Evaluation of Policy Implementation</t>
  </si>
  <si>
    <t xml:space="preserve">3.5.1.1.      Establishment of a Dedicated RE &amp; EE Financing Facility
3.5.1.2.      Engagement with Local and International Investors to Mobilize Capital 
3.5.1.3.      Creation of Blended Finance Mechanisms to De-Risk Investments
3.5.1.4.      Technical Assistance for SMEs and Project Developers on Investment 
Readiness
3.5.1.5.      Advocacy for Policy Incentives to Encourage RE &amp; EE Investment
3.5.1.6.      Development of a Green Finance and Investment Tracking Platform </t>
  </si>
  <si>
    <t xml:space="preserve">3.3.3.1.      Engagement with Financial Institutions to Design Flexible RE &amp; EE 
Financing Products
3.3.3.2.      Establishment of a Blended Finance Mechanism for RE &amp; EE Projects
3.3.3.3.      Creation of a Green Credit Guarantee Fund 
3.3.3.4.      Capacity Building for Financial Institutions on RE &amp; EE Investment Risks
 and Opportunities
3.3.3.5.      Facilitation of Public-Private Partnerships (PPPs) to Expand Patient 
Capital Availability
3.3.3.6.      Advocacy for Regulatory and Policy Reforms to Support Just and Flexible Financing </t>
  </si>
  <si>
    <t>3.3.2.1.      Development of a RE &amp; EE Business Loan Facility
3.3.2.2.      Partnerships with Existing Green Financing Programs 
3.3.2.3.      Capacity Building on Loan Application and Investment Readiness
3.3.2.4.      Technical Assistance for Loan Structuring and Due Diligence
3.3.2.5.      Facilitation of Business-Investor Networking and Matchmaking Events
3.3.2.6.      Advocacy for Policy Incentives to Enhance RE &amp; EE Financing</t>
  </si>
  <si>
    <t>3.3.1.1.      Organization of Two Annual Renewable Energy &amp; Energy Efficiency
 (RE &amp; EE) Investment Forums"
3.3.1.2.      Development of a RE &amp; EE Financing Directory and Matchmaking 
Platform
3.3.1.3.      Facilitation of Business Pitching Sessions and Investor Roundtables 
3.3.1.4.      Technical Assistance for Accessing Existing Financing Facilities 
3.3.1.5.      Capacity Building on Financial Instruments and Investment Structuring 
3.3.1.6.      Engagement with Local and International Financial Institutions</t>
  </si>
  <si>
    <t xml:space="preserve">3.2.1.2.      Capacity Building on Financial Management and Investment Readiness 
3.2.1.3.      Development of Risk-Mitigation Instruments for RE &amp; EE Investments
"3.2.1.4.      Facilitation of Public-Private Partnerships (PPPs) and 
Co-Financing Opportunities
3.2.1.5.      Technical Assistance for Loan and Grant Application Processes
3.2.1.6.      Annual Renewable Energy Investment Forum and Matchmaking Events </t>
  </si>
  <si>
    <t>3.1.2.1.      Customized Business Advisory for Diversification into Sustainable Energy
3.1.2. 2.      Financial Structuring and Investment Readiness Support
3.1.2.3.      Market Research and Opportunity Mapping 
3.1.2.4.      Regulatory and Policy Guidance for New Market Entry
3.1.2.5.      Access to Grant Funding and Blended Finance Mechanisms
3.1.2.6.      Facilitation of Strategic Partnerships and Technology Transfer</t>
  </si>
  <si>
    <t>3.1.1.1.      Development of a Structured RE &amp; EE Project Preparation Facility
3.1.1.2.      Provision of Financial Modeling and Business Plan Development  Support
3.1.1.3.      Capacity Building and Training on Investment Readiness
3.1.1.4.      Facilitation of Due Diligence and Risk Assessment Processes
3.1.1.5.      Matchmaking with Investors, Lenders, and Development Finance Institutions (DFIs)
3.1.1.6.      Technical Advisory on Regulatory Compliance and Permitting</t>
  </si>
  <si>
    <t>2.3.2.1.      Establishment of a Donor-Funded RE &amp; EE Data Sharing and Collaboration Platform
2.3.2.2.      Organization of Two Annual High-Level RE &amp; EE Data Dissemination Forums
2.3.2.3.      Development of a Standardized RE &amp; EE Data Collection and Reporting Framework
2.3.2.4.      Sponsorship of Research and Data-Driven Policy Dialogues 
2.3.2.5.      Publication and Dissemination of Annual RE &amp; EE Data Reports
2.3.2.6.      Engagement with Regional and International Partners for Cross-Border Data Exchange</t>
  </si>
  <si>
    <t>2.3.1.1.      Development of a Donor-Funded RE &amp; EE Data Collection Program
2.3.1.2.      Creation of a Multi-Stakeholder RE &amp; EE Data Consortium 
2.3.1.3.      Implementation of National and Regional RE &amp; EE Baseline Studies
2.3.1.4.      Deployment of Digital and Smart Monitoring Tools for Data Collection
2.3.1.5.      Organization of an Annual RE &amp; EE Data Investment Conference
2.3.1.6.      Publication of an Annual RE &amp; EE Data and Market Trends Report</t>
  </si>
  <si>
    <t>2.2.3.1.      Development of a User-Friendly and Interactive RE &amp; EE Information Management System
2.2.3.2.      Integration of AI-Driven Insights and Predictive Analytics
2.2.3.3.      Regular Uploading of High-Quality Research, Case Studies, and Policy Briefs 
2.2.3.4.      Strategic Digital Marketing and Awareness Campaigns 
2.2.3.5.      Partnerships with Universities, Think Tanks, and Industry Players
2.2.3.6.      Hosting of Webinars, Training Sessions, and Live Data Demonstrations</t>
  </si>
  <si>
    <t>2.2.2.1.      Establishment of Specialized RE &amp; EE Research and Innovation Centers
2.2.2.2.      Strengthening International Research Collaborations and Partnerships
2.2.2.3.      Development of Incentives for Foreign Investors in RE &amp; EE R&amp;D
2.2.2.4.      Hosting of RE &amp; EE Investment and Innovation Summits
2.2.2.5.      Promotion of Technology Transfer and Localization of RE &amp; EE Solutions
2.2.2.6.      Enhancing Policy and Regulatory Frameworks for RE &amp; EE R&amp;D Investment</t>
  </si>
  <si>
    <t>2.2.1.1.      Increased Funding for RE &amp; EE Research in Tertiary Institutions
2.2.1.2.      Development of Research Collaboration Networks
2.2.1.3.      Establishment of RE &amp; EE Innovation Hubs and Laboratories
2.2.1.4.      Integration of RE &amp; EE Research into Academic Curricula
2.2.1.5.      Implementation of Research Commercialization Programs
2.2.1.6.      Policy and Incentives for Industry-Academia R&amp;D Linkages</t>
  </si>
  <si>
    <t>2.1.2.1.      Development of a National RE &amp; EE Data-Sharing Policy
2.1.2.2.      Creation of a Centralized RE &amp; EE Data Exchange Platform
2.1.2.3.      Implementation of Standardized Reporting Formats and Protocols
2.1.2.4.      Mandatory Submission of Performance Data by RE &amp; EE Project Developers
2.1.2.5.      Integration of RE &amp; EE Data with National Energy Planning Systems 
2.1.2.6.      Stakeholder Capacity Building on Data Sharing and Compliance</t>
  </si>
  <si>
    <t>2.1.1.1.      Establishment of a Centralized RE &amp; EE Data Repository 
2.1.1.2.      Implementation of Standardized Data Collection Protocols
2.1.1.3.      Integration of Real-Time Monitoring and Reporting Systems 
2.1.1.4.      Development of Data Analytics and Decision-Support Tools
2.1.1.5.      Enhancement of Data Security and Accessibility Frameworks
2.1.1.6.      Capacity Building and Stakeholder Engagement on Data Utilization</t>
  </si>
  <si>
    <t>1.9.2.1.      Organize Benchmarking Visits to Global Net-Zero Building Sites
1.9.2.2.      Create a Knowledge Exchange Program for Local Stakeholders
1.9.2.3.      Develop Local Net-Zero Building Demonstration Projects
1.9.2.4.      Conduct Annual Net-Zero Building Conference with Benchmarking Sessions
1.9.2.5.      Strengthen Collaboration with International Net-Zero Building Networks
1.9.2.6.      Establish a Feedback Loop for Benchmarking Insights and Local Adaptation</t>
  </si>
  <si>
    <t>1.9.1.1.      Development and Implementation of National Net-Zero Building Standards
1.9.1.2.      Financial Incentives and Support Mechanisms
1.9.1.3.      Capacity Building and Training for Industry Stakeholders
1.9.1.4.      Public Awareness and Advocacy Campaigns
1.9.2.5.      Pilot Projects and Demonstration Buildings
1.9.1.6.      Monitoring, Evaluation, and Reporting</t>
  </si>
  <si>
    <t>1.8.1.1     Review and Update of Building, Transport, and Work Safety Codes
1.8.1.2.      Capacity Building and Training for Architects, Engineers, and Planners
1.8.1.3.      Incentivizing Compliance with RE &amp; EE Standards
1.8.1.4.      Development and Enforcement of Transport Sector Energy Standards
1.8.1.5.      Public Awareness and Demonstration Projects
1.8.1.6.      Monitoring, Evaluation, and Strengthening of Compliance Mechanisms</t>
  </si>
  <si>
    <t>Target 1.8.1
Incorporate RE&amp;EE considerations in building, transport, and work
safety codes</t>
  </si>
  <si>
    <t>1.7.4.1.      Policy and Regulatory Framework Development
1.7.4.2.      Expansion of EV Charging and Battery Swapping Infrastructure
1.7.4.3.      Financial Incentives and Investment Mobilization
1.7.4.4.      Local Manufacturing and Assembly of E-Mobility Components
1.7.4.5.      Public Awareness and Capacity Building
1.7.4.6.      Monitoring, Evaluation, and Data-Driven Expansion</t>
  </si>
  <si>
    <t>1.7.3.1.      Feasibility Studies and Resource Mapping
1.7.3.2.      Policy and Regulatory Framework Development
1.7.3.3.      Technology Selection and Infrastructure Development
1.7.3.4.      Financing and Investment Mobilization
1.7.3.5.      Capacity Building and Stakeholder Engagement
1.7.3.6.      Monitoring, Evaluation, and Expansion Strategy</t>
  </si>
  <si>
    <t>1.7.2.1.      Feasibility Studies and Site Selection
1.7.2.2.      Policy and Regulatory Framework Development
1.7.2.3.      Technology Procurement and Infrastructure Development
1.7.2.4.      Financing and Investment Mobilization
1.7.2.5.      Capacity Building and Workforce Development
1.7.2.6.      Monitoring, Evaluation, and Scale-Up Strategy</t>
  </si>
  <si>
    <t>1.7.1.1.      Feasibility Studies and Site Assessments
1.7.1.2.      Policy and Regulatory Framework Development
1.7.1.3.      Technology Procurement and Infrastructure Development
1.7.1.4.      Financing and Investment Mobilization
1.7.1.5.      Capacity Building and Community Engagement
1.7.1.6.      Monitoring, Evaluation, and Scale-Up Strategy</t>
  </si>
  <si>
    <t>1.6.3.1.      Feasibility Studies and Site Selection
1.6.3.2.      Development of Waste Collection and Processing Infrastructure
1.6.3.3.      Construction and Commissioning of WtE Facilities
1.6.3.4.      Policy and Regulatory Framework Enhancement
1.6.3.5.      Capacity Building and Stakeholder Engagement
1.6.3.6.      Monitoring, Evaluation, and Expansion Strategies</t>
  </si>
  <si>
    <t>1.6.2.1.      Feasibility Studies and Site Assessments
1.6.2.2.      Promotion and Awareness Campaigns
1.6.2.3.      Capacity Building and Technical Training
1.6.2.4.      Financial Support and Incentives
1.6.2.5.      Installation and Quality Assurance
1.6.2.6.      Monitoring, Evaluation, and Policy Advocacy</t>
  </si>
  <si>
    <t>1.6.1.1.1    Feasibility Studies and Site Selection for Waste to Energy Projects
1.6.1.1.2.      Development of Waste Collection and Segregation Systems
1.6.1.1.3.      Construction and Commissioning of WtE Infrastructure
1.6.1.1.4.      Policy and Regulatory Framework Strengthening
1.6.1.1.5.      Community Awareness and Capacity Building
1.6.1.1.6.      Monitoring, Evaluation, and Technology Optimization</t>
  </si>
  <si>
    <t xml:space="preserve">1.5.2.1.      Establishment of Biofuel Blending Regulations and Standards
1.5.2.2.      Development of Large-Scale Biofuel Production and Supply Chains
1.5.2.3.      Infrastructure Development for Blending and Distribution
1.5.2.4.      Financial Incentives and Investment Promotion
1.5.2.5.      Industry Engagement and Consumer Awareness
1.5.2.6.      Monitoring, Evaluation, and Policy Adjustments </t>
  </si>
  <si>
    <t>1.5.1.1.      Feasibility Studies and Site Selection for Biofuel Facilities
1.5.1.2.      Feedstock Development and Supply Chain Strengthening
1.5.1.3.      Technology Acquisition and Facility Construction
1.5.1.4.      Policy Advocacy and Regulatory Compliance
1.5.1.5.      Market Development and Industrial Adoption
1.5.1.6.      Research, Innovation, and Sustainability Monitoring</t>
  </si>
  <si>
    <t>1.4.3.1.      Streamlining Policy and Regulatory Framework
1.4.3.2.      Financial Incentives and Investment Mobilization
1.4.3.3.      Capacity Building for Utilities and Installers
1.4.3.4.      Public Awareness and Consumer Engagement
1.4.3.5.      Infrastructure Development and Grid Readiness
1.4.3.6.      Monitoring, Evaluation, and Expansion Strategy</t>
  </si>
  <si>
    <t>1.4.2.1.      Grid Stability and Load Analysis Study
1.4.2.2.      Pilot Testing of Net-Metering with Grid Impact Assessments
1.4.2.3.      Smart Grid and Energy Storage Integration
1.4.2.4.      Policy and Regulatory Framework Enhancement
1.4.2.5.      Capacity Building and Stakeholder Engagement
1.4.2.6.      Data Collection, Monitoring, and Reporting</t>
  </si>
  <si>
    <t>1.4.1.1.      Policy and Regulatory Framework Development
1.4.1.2.      Implementation of Pilot Net-Metering Projects
1.4.1.3.      Consumer Awareness and Capacity Building
1.4.1.4.      Incentives and Financing Mechanisms
1.4.1.5.      Strengthening Grid Infrastructure and Smart Meter Deployment
1.4.1.6.      Monitoring, Evaluation, and Scaling Up</t>
  </si>
  <si>
    <t>1.3.2.1.      Market Development and Consumer Awareness Campaigns
1.3.2.2.      Affordable Financing and Pay-As-You-Go (PAYGO) Models
1.3.2.3.      Strengthening Solar Supply Chains and Local Distribution Networks
1.3.2.4.      Technical Training and Workforce Development
1.3.2.5.      Policy Advocacy and Institutional Support
1.3.2.6.      Monitoring, Evaluation, and Data-Driven Scale-Up</t>
  </si>
  <si>
    <t>1.3.1.1.      Policy and Regulatory Support for Mini-Grid Development
1.3.1.2.      Financial Mobilization and Investment Facilitation
1.3.1.3.      Site Identification and Feasibility Studies
1.3.1.4.      Deployment of Mini-Grids and Renewable Energy Technologies
1.3.1.5.      Capacity Building and Community Engagement
1.3.1.6.      Monitoring, Evaluation, and Impact Assessment</t>
  </si>
  <si>
    <t>1.2.1.1.      Capacity Building and Skills Development for Entrepreneurs
1.2.1.2.      Access to Affordable Financing and Incentives
1.2.1.3.      Strengthening Market Linkages and Value Chains
1.2.1.4.      Infrastructure Development and Technology Deployment
1.2.1.5.      Policy Advocacy and Institutional Support
1.2.1.6.      Monitoring, Evaluation, and Impact Assessment</t>
  </si>
  <si>
    <t>1.1.2.1.      Establishment of Local Manufacturing and Assembly Units
1.1.2.2.      Capacity Building for Local Workforce and Technical Training
1.1.2.3.      Strengthening Supply Chains for Raw Materials and Components
1.1.2.4.      Policy Advocacy and Incentives for Local Manufacturing
1.1.2.5.      Market Development and Consumer Awareness Campaigns
1.1.2.6.      Research, Innovation, and Product Improvement</t>
  </si>
  <si>
    <t>1.1.1.1.      Consumer Awareness and Behavior Change Campaigns
1.1.1.2.      Subsidies, Incentives, and Financing Options
1.1.1.3.      Strengthening Distribution and Last-Mile Supply Chains
1.1.1.4.      Capacity Building and Skills Development
1.1.1.5.      Policy Engagement and Institutional Support
1.1.1.6.      Research, Monitoring, and Impact Evaluation</t>
  </si>
  <si>
    <t>Weighting</t>
  </si>
  <si>
    <t>Target</t>
  </si>
  <si>
    <t>KRA</t>
  </si>
  <si>
    <t>Initiatives</t>
  </si>
  <si>
    <t>Initiative</t>
  </si>
  <si>
    <t xml:space="preserve"> KRA  </t>
  </si>
  <si>
    <t xml:space="preserve">Year 1 Actual Score 		</t>
  </si>
  <si>
    <t xml:space="preserve">Output </t>
  </si>
  <si>
    <t>Outcome / KRA</t>
  </si>
  <si>
    <t xml:space="preserve">Year 2 Actual Score 		</t>
  </si>
  <si>
    <t>Total</t>
  </si>
  <si>
    <t>Key Result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</si>
</sst>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0"/>
      <color theme="1"/>
      <name val="Book Antiqua"/>
      <family val="1"/>
    </font>
    <font>
      <b/>
      <sz val="10"/>
      <color theme="1"/>
      <name val="Book Antiqua"/>
      <family val="1"/>
    </font>
    <font>
      <sz val="10"/>
      <color rgb="FF000000"/>
      <name val="Book Antiqua"/>
      <family val="1"/>
    </font>
    <font>
      <sz val="10"/>
      <color rgb="FFFF0000"/>
      <name val="Book Antiqua"/>
      <family val="1"/>
    </font>
    <font>
      <sz val="12"/>
      <color theme="1"/>
      <name val="Calibri"/>
      <family val="2"/>
      <scheme val="minor"/>
    </font>
    <font>
      <b/>
      <sz val="10"/>
      <color rgb="FFFF0000"/>
      <name val="Book Antiqua"/>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2" tint="-0.14999847407452621"/>
        <bgColor indexed="64"/>
      </patternFill>
    </fill>
    <fill>
      <patternFill patternType="solid">
        <fgColor theme="8" tint="0.59999389629810485"/>
        <bgColor indexed="64"/>
      </patternFill>
    </fill>
    <fill>
      <patternFill patternType="solid">
        <fgColor theme="5" tint="0.79998168889431442"/>
        <bgColor indexed="64"/>
      </patternFill>
    </fill>
  </fills>
  <borders count="1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dashed">
        <color theme="1"/>
      </top>
      <bottom/>
      <diagonal/>
    </border>
    <border>
      <left style="thin">
        <color indexed="64"/>
      </left>
      <right style="thin">
        <color indexed="64"/>
      </right>
      <top/>
      <bottom style="dashed">
        <color theme="1"/>
      </bottom>
      <diagonal/>
    </border>
    <border>
      <left style="medium">
        <color indexed="64"/>
      </left>
      <right style="thin">
        <color indexed="64"/>
      </right>
      <top style="dashed">
        <color theme="1"/>
      </top>
      <bottom style="dashed">
        <color theme="1"/>
      </bottom>
      <diagonal/>
    </border>
    <border>
      <left style="medium">
        <color indexed="64"/>
      </left>
      <right style="thin">
        <color indexed="64"/>
      </right>
      <top/>
      <bottom style="dashed">
        <color theme="1"/>
      </bottom>
      <diagonal/>
    </border>
    <border>
      <left style="thin">
        <color indexed="64"/>
      </left>
      <right style="medium">
        <color indexed="64"/>
      </right>
      <top style="dashed">
        <color theme="1"/>
      </top>
      <bottom style="dashed">
        <color theme="1"/>
      </bottom>
      <diagonal/>
    </border>
    <border>
      <left style="thin">
        <color indexed="64"/>
      </left>
      <right style="medium">
        <color indexed="64"/>
      </right>
      <top style="thin">
        <color indexed="64"/>
      </top>
      <bottom style="dashed">
        <color theme="1"/>
      </bottom>
      <diagonal/>
    </border>
    <border>
      <left style="thin">
        <color indexed="64"/>
      </left>
      <right style="medium">
        <color indexed="64"/>
      </right>
      <top/>
      <bottom style="dashed">
        <color theme="1"/>
      </bottom>
      <diagonal/>
    </border>
    <border>
      <left style="thin">
        <color indexed="64"/>
      </left>
      <right/>
      <top/>
      <bottom style="dashed">
        <color theme="1"/>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style="thin">
        <color indexed="64"/>
      </right>
      <top style="medium">
        <color theme="1"/>
      </top>
      <bottom style="dashed">
        <color theme="1"/>
      </bottom>
      <diagonal/>
    </border>
    <border>
      <left style="medium">
        <color indexed="64"/>
      </left>
      <right style="thin">
        <color indexed="64"/>
      </right>
      <top style="medium">
        <color theme="1"/>
      </top>
      <bottom style="dashed">
        <color theme="1"/>
      </bottom>
      <diagonal/>
    </border>
    <border>
      <left style="thin">
        <color indexed="64"/>
      </left>
      <right style="medium">
        <color theme="1"/>
      </right>
      <top style="medium">
        <color theme="1"/>
      </top>
      <bottom/>
      <diagonal/>
    </border>
    <border>
      <left style="medium">
        <color theme="1"/>
      </left>
      <right style="thin">
        <color indexed="64"/>
      </right>
      <top/>
      <bottom/>
      <diagonal/>
    </border>
    <border>
      <left style="thin">
        <color indexed="64"/>
      </left>
      <right style="medium">
        <color theme="1"/>
      </right>
      <top style="thin">
        <color indexed="64"/>
      </top>
      <bottom style="thin">
        <color indexed="64"/>
      </bottom>
      <diagonal/>
    </border>
    <border>
      <left style="thin">
        <color indexed="64"/>
      </left>
      <right style="medium">
        <color theme="1"/>
      </right>
      <top/>
      <bottom style="thin">
        <color indexed="64"/>
      </bottom>
      <diagonal/>
    </border>
    <border>
      <left style="thin">
        <color indexed="64"/>
      </left>
      <right style="medium">
        <color theme="1"/>
      </right>
      <top style="thin">
        <color indexed="64"/>
      </top>
      <bottom/>
      <diagonal/>
    </border>
    <border>
      <left style="medium">
        <color indexed="64"/>
      </left>
      <right style="medium">
        <color theme="1"/>
      </right>
      <top style="thin">
        <color indexed="64"/>
      </top>
      <bottom style="dashed">
        <color theme="1"/>
      </bottom>
      <diagonal/>
    </border>
    <border>
      <left style="medium">
        <color indexed="64"/>
      </left>
      <right style="medium">
        <color theme="1"/>
      </right>
      <top style="dashed">
        <color theme="1"/>
      </top>
      <bottom style="dashed">
        <color theme="1"/>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indexed="64"/>
      </right>
      <top/>
      <bottom style="medium">
        <color theme="1"/>
      </bottom>
      <diagonal/>
    </border>
    <border>
      <left style="medium">
        <color indexed="64"/>
      </left>
      <right style="thin">
        <color indexed="64"/>
      </right>
      <top style="dashed">
        <color theme="1"/>
      </top>
      <bottom style="medium">
        <color theme="1"/>
      </bottom>
      <diagonal/>
    </border>
    <border>
      <left style="dashed">
        <color theme="1"/>
      </left>
      <right style="dashed">
        <color theme="1"/>
      </right>
      <top style="dashed">
        <color theme="1"/>
      </top>
      <bottom style="dashed">
        <color theme="1"/>
      </bottom>
      <diagonal/>
    </border>
    <border>
      <left style="dashed">
        <color theme="1"/>
      </left>
      <right style="dashed">
        <color theme="1"/>
      </right>
      <top/>
      <bottom style="dashed">
        <color theme="1"/>
      </bottom>
      <diagonal/>
    </border>
    <border>
      <left style="dashed">
        <color theme="1"/>
      </left>
      <right style="dashed">
        <color theme="1"/>
      </right>
      <top style="medium">
        <color theme="1"/>
      </top>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medium">
        <color theme="1"/>
      </left>
      <right style="dashed">
        <color theme="1"/>
      </right>
      <top style="medium">
        <color theme="1"/>
      </top>
      <bottom/>
      <diagonal/>
    </border>
    <border>
      <left style="dashed">
        <color theme="1"/>
      </left>
      <right style="dashed">
        <color theme="1"/>
      </right>
      <top style="medium">
        <color theme="1"/>
      </top>
      <bottom style="dashed">
        <color theme="1"/>
      </bottom>
      <diagonal/>
    </border>
    <border>
      <left style="dashed">
        <color theme="1"/>
      </left>
      <right style="medium">
        <color theme="1"/>
      </right>
      <top style="medium">
        <color theme="1"/>
      </top>
      <bottom style="dashed">
        <color theme="1"/>
      </bottom>
      <diagonal/>
    </border>
    <border>
      <left style="medium">
        <color theme="1"/>
      </left>
      <right style="dashed">
        <color theme="1"/>
      </right>
      <top/>
      <bottom/>
      <diagonal/>
    </border>
    <border>
      <left style="dashed">
        <color theme="1"/>
      </left>
      <right style="medium">
        <color theme="1"/>
      </right>
      <top style="dashed">
        <color theme="1"/>
      </top>
      <bottom style="dashed">
        <color theme="1"/>
      </bottom>
      <diagonal/>
    </border>
    <border>
      <left style="medium">
        <color theme="1"/>
      </left>
      <right style="dashed">
        <color theme="1"/>
      </right>
      <top/>
      <bottom style="medium">
        <color theme="1"/>
      </bottom>
      <diagonal/>
    </border>
    <border>
      <left style="dashed">
        <color theme="1"/>
      </left>
      <right style="dashed">
        <color theme="1"/>
      </right>
      <top/>
      <bottom style="medium">
        <color theme="1"/>
      </bottom>
      <diagonal/>
    </border>
    <border>
      <left style="dashed">
        <color theme="1"/>
      </left>
      <right style="medium">
        <color theme="1"/>
      </right>
      <top style="dashed">
        <color theme="1"/>
      </top>
      <bottom style="medium">
        <color theme="1"/>
      </bottom>
      <diagonal/>
    </border>
    <border>
      <left/>
      <right style="dashed">
        <color theme="1"/>
      </right>
      <top/>
      <bottom/>
      <diagonal/>
    </border>
    <border>
      <left style="dashed">
        <color theme="1"/>
      </left>
      <right style="medium">
        <color theme="1"/>
      </right>
      <top style="dashed">
        <color theme="1"/>
      </top>
      <bottom/>
      <diagonal/>
    </border>
    <border>
      <left/>
      <right/>
      <top style="medium">
        <color theme="1"/>
      </top>
      <bottom/>
      <diagonal/>
    </border>
    <border>
      <left/>
      <right/>
      <top/>
      <bottom style="dashed">
        <color theme="1"/>
      </bottom>
      <diagonal/>
    </border>
    <border>
      <left/>
      <right style="dashed">
        <color theme="1"/>
      </right>
      <top style="dashed">
        <color theme="1"/>
      </top>
      <bottom style="dashed">
        <color theme="1"/>
      </bottom>
      <diagonal/>
    </border>
    <border>
      <left/>
      <right style="dashed">
        <color theme="1"/>
      </right>
      <top style="dashed">
        <color theme="1"/>
      </top>
      <bottom/>
      <diagonal/>
    </border>
    <border>
      <left/>
      <right style="dashed">
        <color theme="1"/>
      </right>
      <top/>
      <bottom style="dashed">
        <color theme="1"/>
      </bottom>
      <diagonal/>
    </border>
    <border>
      <left style="medium">
        <color theme="1"/>
      </left>
      <right style="dashed">
        <color theme="1"/>
      </right>
      <top style="medium">
        <color theme="1"/>
      </top>
      <bottom style="dashed">
        <color theme="1"/>
      </bottom>
      <diagonal/>
    </border>
    <border>
      <left style="medium">
        <color theme="1"/>
      </left>
      <right style="dashed">
        <color theme="1"/>
      </right>
      <top style="dashed">
        <color theme="1"/>
      </top>
      <bottom style="dashed">
        <color theme="1"/>
      </bottom>
      <diagonal/>
    </border>
    <border>
      <left style="medium">
        <color theme="1"/>
      </left>
      <right style="dashed">
        <color theme="1"/>
      </right>
      <top style="dashed">
        <color theme="1"/>
      </top>
      <bottom style="medium">
        <color theme="1"/>
      </bottom>
      <diagonal/>
    </border>
    <border>
      <left style="dashed">
        <color theme="1"/>
      </left>
      <right/>
      <top style="dashed">
        <color theme="1"/>
      </top>
      <bottom style="dashed">
        <color theme="1"/>
      </bottom>
      <diagonal/>
    </border>
    <border>
      <left style="dashed">
        <color theme="1"/>
      </left>
      <right/>
      <top style="dashed">
        <color theme="1"/>
      </top>
      <bottom style="medium">
        <color theme="1"/>
      </bottom>
      <diagonal/>
    </border>
    <border>
      <left/>
      <right style="medium">
        <color theme="1"/>
      </right>
      <top style="medium">
        <color theme="1"/>
      </top>
      <bottom/>
      <diagonal/>
    </border>
    <border>
      <left style="dashed">
        <color theme="1"/>
      </left>
      <right style="medium">
        <color theme="1"/>
      </right>
      <top/>
      <bottom style="dashed">
        <color theme="1"/>
      </bottom>
      <diagonal/>
    </border>
    <border>
      <left style="dashed">
        <color theme="1"/>
      </left>
      <right/>
      <top style="medium">
        <color theme="1"/>
      </top>
      <bottom style="dashed">
        <color theme="1"/>
      </bottom>
      <diagonal/>
    </border>
    <border>
      <left style="dashed">
        <color theme="1"/>
      </left>
      <right/>
      <top style="dashed">
        <color theme="1"/>
      </top>
      <bottom/>
      <diagonal/>
    </border>
    <border>
      <left style="medium">
        <color theme="1"/>
      </left>
      <right style="dashed">
        <color theme="1"/>
      </right>
      <top style="dashed">
        <color theme="1"/>
      </top>
      <bottom/>
      <diagonal/>
    </border>
    <border>
      <left/>
      <right/>
      <top/>
      <bottom style="medium">
        <color theme="1"/>
      </bottom>
      <diagonal/>
    </border>
    <border>
      <left style="thin">
        <color indexed="64"/>
      </left>
      <right style="medium">
        <color theme="1"/>
      </right>
      <top style="medium">
        <color theme="1"/>
      </top>
      <bottom style="dashed">
        <color theme="1"/>
      </bottom>
      <diagonal/>
    </border>
    <border>
      <left style="dashed">
        <color theme="1"/>
      </left>
      <right style="thin">
        <color indexed="64"/>
      </right>
      <top style="medium">
        <color theme="1"/>
      </top>
      <bottom/>
      <diagonal/>
    </border>
    <border>
      <left style="dashed">
        <color theme="1"/>
      </left>
      <right style="thin">
        <color indexed="64"/>
      </right>
      <top/>
      <bottom style="dashed">
        <color theme="1"/>
      </bottom>
      <diagonal/>
    </border>
    <border>
      <left style="medium">
        <color theme="1"/>
      </left>
      <right style="thin">
        <color indexed="64"/>
      </right>
      <top style="dashed">
        <color theme="1"/>
      </top>
      <bottom style="dashed">
        <color theme="1"/>
      </bottom>
      <diagonal/>
    </border>
    <border>
      <left style="thin">
        <color indexed="64"/>
      </left>
      <right style="medium">
        <color indexed="64"/>
      </right>
      <top style="medium">
        <color theme="1"/>
      </top>
      <bottom style="dashed">
        <color theme="1"/>
      </bottom>
      <diagonal/>
    </border>
    <border>
      <left style="medium">
        <color theme="1"/>
      </left>
      <right style="dashed">
        <color theme="1"/>
      </right>
      <top/>
      <bottom style="dashed">
        <color theme="1"/>
      </bottom>
      <diagonal/>
    </border>
    <border>
      <left style="dashed">
        <color theme="1"/>
      </left>
      <right/>
      <top/>
      <bottom style="dashed">
        <color theme="1"/>
      </bottom>
      <diagonal/>
    </border>
    <border>
      <left style="medium">
        <color indexed="64"/>
      </left>
      <right style="thin">
        <color indexed="64"/>
      </right>
      <top style="thin">
        <color indexed="64"/>
      </top>
      <bottom style="dashed">
        <color theme="1"/>
      </bottom>
      <diagonal/>
    </border>
    <border>
      <left style="thin">
        <color indexed="64"/>
      </left>
      <right style="medium">
        <color theme="1"/>
      </right>
      <top/>
      <bottom style="dashed">
        <color theme="1"/>
      </bottom>
      <diagonal/>
    </border>
    <border>
      <left style="dashed">
        <color theme="1"/>
      </left>
      <right style="thin">
        <color indexed="64"/>
      </right>
      <top style="medium">
        <color theme="1"/>
      </top>
      <bottom style="dashed">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style="dashed">
        <color theme="1"/>
      </left>
      <right style="dashed">
        <color theme="1"/>
      </right>
      <top style="dashed">
        <color theme="1"/>
      </top>
      <bottom style="medium">
        <color theme="1"/>
      </bottom>
      <diagonal/>
    </border>
    <border>
      <left style="medium">
        <color theme="1"/>
      </left>
      <right style="medium">
        <color theme="1"/>
      </right>
      <top style="medium">
        <color theme="1"/>
      </top>
      <bottom style="dashed">
        <color theme="1"/>
      </bottom>
      <diagonal/>
    </border>
    <border>
      <left style="medium">
        <color theme="1"/>
      </left>
      <right style="medium">
        <color theme="1"/>
      </right>
      <top/>
      <bottom style="dashed">
        <color theme="1"/>
      </bottom>
      <diagonal/>
    </border>
    <border>
      <left/>
      <right style="thin">
        <color indexed="64"/>
      </right>
      <top style="thin">
        <color indexed="64"/>
      </top>
      <bottom/>
      <diagonal/>
    </border>
    <border>
      <left style="medium">
        <color theme="1"/>
      </left>
      <right style="thin">
        <color indexed="64"/>
      </right>
      <top style="thin">
        <color indexed="64"/>
      </top>
      <bottom/>
      <diagonal/>
    </border>
    <border>
      <left style="medium">
        <color theme="1"/>
      </left>
      <right style="medium">
        <color theme="1"/>
      </right>
      <top/>
      <bottom/>
      <diagonal/>
    </border>
    <border>
      <left style="medium">
        <color theme="1"/>
      </left>
      <right style="dashed">
        <color theme="1"/>
      </right>
      <top style="medium">
        <color theme="1"/>
      </top>
      <bottom style="medium">
        <color theme="1"/>
      </bottom>
      <diagonal/>
    </border>
    <border>
      <left style="dashed">
        <color theme="1"/>
      </left>
      <right style="dashed">
        <color theme="1"/>
      </right>
      <top style="medium">
        <color theme="1"/>
      </top>
      <bottom style="medium">
        <color theme="1"/>
      </bottom>
      <diagonal/>
    </border>
    <border>
      <left style="dashed">
        <color theme="1"/>
      </left>
      <right/>
      <top style="medium">
        <color theme="1"/>
      </top>
      <bottom style="medium">
        <color theme="1"/>
      </bottom>
      <diagonal/>
    </border>
    <border>
      <left style="dashed">
        <color theme="1"/>
      </left>
      <right style="medium">
        <color theme="1"/>
      </right>
      <top style="medium">
        <color theme="1"/>
      </top>
      <bottom style="medium">
        <color theme="1"/>
      </bottom>
      <diagonal/>
    </border>
    <border>
      <left style="thin">
        <color theme="7"/>
      </left>
      <right style="thin">
        <color theme="7"/>
      </right>
      <top style="thin">
        <color theme="7"/>
      </top>
      <bottom style="thin">
        <color theme="7"/>
      </bottom>
      <diagonal/>
    </border>
    <border>
      <left style="thin">
        <color theme="7"/>
      </left>
      <right/>
      <top style="thin">
        <color theme="7"/>
      </top>
      <bottom style="thin">
        <color theme="7"/>
      </bottom>
      <diagonal/>
    </border>
    <border>
      <left style="thin">
        <color theme="7"/>
      </left>
      <right style="thin">
        <color theme="7"/>
      </right>
      <top style="thin">
        <color theme="7"/>
      </top>
      <bottom/>
      <diagonal/>
    </border>
    <border>
      <left style="thin">
        <color theme="7"/>
      </left>
      <right/>
      <top style="thin">
        <color theme="7"/>
      </top>
      <bottom/>
      <diagonal/>
    </border>
    <border>
      <left style="thin">
        <color theme="7"/>
      </left>
      <right/>
      <top/>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
      <left style="thin">
        <color theme="7"/>
      </left>
      <right/>
      <top/>
      <bottom style="thin">
        <color theme="5" tint="0.39997558519241921"/>
      </bottom>
      <diagonal/>
    </border>
    <border>
      <left style="thin">
        <color theme="5" tint="0.39997558519241921"/>
      </left>
      <right/>
      <top style="thin">
        <color theme="5" tint="0.39997558519241921"/>
      </top>
      <bottom/>
      <diagonal/>
    </border>
    <border>
      <left style="thin">
        <color theme="5" tint="0.39997558519241921"/>
      </left>
      <right/>
      <top/>
      <bottom/>
      <diagonal/>
    </border>
    <border>
      <left style="thin">
        <color theme="5" tint="0.39997558519241921"/>
      </left>
      <right/>
      <top style="thin">
        <color theme="5" tint="0.39997558519241921"/>
      </top>
      <bottom style="thin">
        <color theme="5" tint="0.39997558519241921"/>
      </bottom>
      <diagonal/>
    </border>
    <border>
      <left style="thin">
        <color theme="7"/>
      </left>
      <right/>
      <top style="thin">
        <color theme="5" tint="0.39997558519241921"/>
      </top>
      <bottom/>
      <diagonal/>
    </border>
    <border>
      <left/>
      <right/>
      <top style="medium">
        <color theme="1"/>
      </top>
      <bottom style="dashed">
        <color theme="1"/>
      </bottom>
      <diagonal/>
    </border>
    <border>
      <left/>
      <right/>
      <top style="dashed">
        <color theme="1"/>
      </top>
      <bottom style="dashed">
        <color theme="1"/>
      </bottom>
      <diagonal/>
    </border>
    <border>
      <left/>
      <right/>
      <top style="dashed">
        <color theme="1"/>
      </top>
      <bottom style="medium">
        <color theme="1"/>
      </bottom>
      <diagonal/>
    </border>
    <border>
      <left style="thin">
        <color theme="5" tint="0.39997558519241921"/>
      </left>
      <right style="thin">
        <color theme="5" tint="0.39997558519241921"/>
      </right>
      <top style="thin">
        <color theme="5" tint="0.39997558519241921"/>
      </top>
      <bottom/>
      <diagonal/>
    </border>
    <border>
      <left style="thin">
        <color theme="5" tint="0.39997558519241921"/>
      </left>
      <right style="thin">
        <color theme="5" tint="0.39997558519241921"/>
      </right>
      <top/>
      <bottom style="thin">
        <color theme="5" tint="0.39997558519241921"/>
      </bottom>
      <diagonal/>
    </border>
    <border>
      <left style="thin">
        <color theme="5" tint="0.39997558519241921"/>
      </left>
      <right style="thin">
        <color theme="5" tint="0.39997558519241921"/>
      </right>
      <top/>
      <bottom/>
      <diagonal/>
    </border>
    <border>
      <left/>
      <right/>
      <top style="dashed">
        <color theme="1"/>
      </top>
      <bottom/>
      <diagonal/>
    </border>
    <border>
      <left style="thin">
        <color theme="5" tint="0.39997558519241921"/>
      </left>
      <right/>
      <top/>
      <bottom style="thin">
        <color theme="5" tint="0.3999755851924192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theme="5" tint="0.39997558519241921"/>
      </left>
      <right/>
      <top style="thin">
        <color theme="5" tint="0.3999755851924192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style="medium">
        <color theme="1"/>
      </left>
      <right style="thin">
        <color theme="5" tint="0.3999755851924192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right style="thin">
        <color theme="5" tint="0.39997558519241921"/>
      </right>
      <top style="thin">
        <color theme="5" tint="0.39997558519241921"/>
      </top>
      <bottom style="thin">
        <color theme="5" tint="0.39997558519241921"/>
      </bottom>
      <diagonal/>
    </border>
    <border>
      <left style="thin">
        <color indexed="64"/>
      </left>
      <right/>
      <top style="thin">
        <color indexed="64"/>
      </top>
      <bottom style="medium">
        <color theme="1"/>
      </bottom>
      <diagonal/>
    </border>
    <border>
      <left/>
      <right style="thin">
        <color theme="5" tint="0.39997558519241921"/>
      </right>
      <top style="thin">
        <color theme="5" tint="0.39997558519241921"/>
      </top>
      <bottom style="medium">
        <color theme="1"/>
      </bottom>
      <diagonal/>
    </border>
    <border>
      <left style="medium">
        <color theme="1"/>
      </left>
      <right style="medium">
        <color theme="1"/>
      </right>
      <top style="dashed">
        <color theme="1"/>
      </top>
      <bottom style="dashed">
        <color theme="1"/>
      </bottom>
      <diagonal/>
    </border>
    <border>
      <left style="medium">
        <color theme="1"/>
      </left>
      <right style="medium">
        <color theme="1"/>
      </right>
      <top/>
      <bottom style="medium">
        <color theme="1"/>
      </bottom>
      <diagonal/>
    </border>
    <border>
      <left style="medium">
        <color indexed="64"/>
      </left>
      <right style="medium">
        <color theme="1"/>
      </right>
      <top style="dashed">
        <color theme="1"/>
      </top>
      <bottom style="medium">
        <color theme="1"/>
      </bottom>
      <diagonal/>
    </border>
    <border>
      <left style="thin">
        <color indexed="64"/>
      </left>
      <right/>
      <top/>
      <bottom style="thin">
        <color indexed="64"/>
      </bottom>
      <diagonal/>
    </border>
    <border>
      <left/>
      <right/>
      <top/>
      <bottom style="thin">
        <color theme="5" tint="0.39997558519241921"/>
      </bottom>
      <diagonal/>
    </border>
    <border>
      <left/>
      <right/>
      <top style="thin">
        <color theme="5" tint="0.39997558519241921"/>
      </top>
      <bottom/>
      <diagonal/>
    </border>
    <border>
      <left/>
      <right style="medium">
        <color theme="1"/>
      </right>
      <top style="thin">
        <color indexed="64"/>
      </top>
      <bottom/>
      <diagonal/>
    </border>
    <border>
      <left/>
      <right style="medium">
        <color theme="1"/>
      </right>
      <top/>
      <bottom/>
      <diagonal/>
    </border>
    <border>
      <left/>
      <right style="thin">
        <color theme="1"/>
      </right>
      <top style="thin">
        <color theme="1"/>
      </top>
      <bottom style="thin">
        <color theme="1"/>
      </bottom>
      <diagonal/>
    </border>
    <border>
      <left style="dashed">
        <color theme="1"/>
      </left>
      <right style="thin">
        <color theme="5" tint="0.39997558519241921"/>
      </right>
      <top style="dashed">
        <color theme="1"/>
      </top>
      <bottom style="medium">
        <color theme="1"/>
      </bottom>
      <diagonal/>
    </border>
    <border>
      <left style="thin">
        <color theme="1"/>
      </left>
      <right style="thin">
        <color theme="1"/>
      </right>
      <top style="medium">
        <color theme="1"/>
      </top>
      <bottom/>
      <diagonal/>
    </border>
    <border>
      <left style="dashed">
        <color theme="1"/>
      </left>
      <right/>
      <top/>
      <bottom/>
      <diagonal/>
    </border>
    <border>
      <left style="medium">
        <color theme="1"/>
      </left>
      <right/>
      <top/>
      <bottom/>
      <diagonal/>
    </border>
    <border>
      <left style="medium">
        <color theme="1"/>
      </left>
      <right/>
      <top style="dashed">
        <color theme="1"/>
      </top>
      <bottom style="dashed">
        <color theme="1"/>
      </bottom>
      <diagonal/>
    </border>
    <border>
      <left/>
      <right style="medium">
        <color theme="1"/>
      </right>
      <top/>
      <bottom style="dashed">
        <color theme="1"/>
      </bottom>
      <diagonal/>
    </border>
    <border>
      <left/>
      <right style="thin">
        <color theme="1"/>
      </right>
      <top style="thin">
        <color theme="1"/>
      </top>
      <bottom/>
      <diagonal/>
    </border>
    <border>
      <left style="thin">
        <color theme="5" tint="0.59999389629810485"/>
      </left>
      <right style="thin">
        <color theme="5" tint="0.59999389629810485"/>
      </right>
      <top/>
      <bottom/>
      <diagonal/>
    </border>
    <border>
      <left style="thin">
        <color theme="5" tint="0.39997558519241921"/>
      </left>
      <right style="thin">
        <color theme="5" tint="0.39997558519241921"/>
      </right>
      <top style="medium">
        <color theme="1"/>
      </top>
      <bottom style="thin">
        <color theme="5" tint="0.39997558519241921"/>
      </bottom>
      <diagonal/>
    </border>
    <border>
      <left style="thin">
        <color theme="5" tint="0.39997558519241921"/>
      </left>
      <right/>
      <top style="medium">
        <color theme="1"/>
      </top>
      <bottom/>
      <diagonal/>
    </border>
    <border>
      <left style="thin">
        <color theme="5" tint="0.59999389629810485"/>
      </left>
      <right style="thin">
        <color theme="5" tint="0.59999389629810485"/>
      </right>
      <top style="medium">
        <color theme="1"/>
      </top>
      <bottom/>
      <diagonal/>
    </border>
    <border>
      <left/>
      <right style="thin">
        <color theme="1"/>
      </right>
      <top style="medium">
        <color theme="1"/>
      </top>
      <bottom style="thin">
        <color theme="1"/>
      </bottom>
      <diagonal/>
    </border>
    <border>
      <left style="thin">
        <color theme="1"/>
      </left>
      <right style="medium">
        <color theme="1"/>
      </right>
      <top style="medium">
        <color theme="1"/>
      </top>
      <bottom/>
      <diagonal/>
    </border>
    <border>
      <left style="thin">
        <color theme="1"/>
      </left>
      <right style="medium">
        <color theme="1"/>
      </right>
      <top/>
      <bottom/>
      <diagonal/>
    </border>
    <border>
      <left style="thin">
        <color theme="5" tint="0.39997558519241921"/>
      </left>
      <right style="thin">
        <color theme="5" tint="0.39997558519241921"/>
      </right>
      <top style="thin">
        <color theme="5" tint="0.39997558519241921"/>
      </top>
      <bottom style="medium">
        <color theme="1"/>
      </bottom>
      <diagonal/>
    </border>
    <border>
      <left style="thin">
        <color theme="5" tint="0.39997558519241921"/>
      </left>
      <right/>
      <top/>
      <bottom style="medium">
        <color theme="1"/>
      </bottom>
      <diagonal/>
    </border>
    <border>
      <left style="thin">
        <color theme="5" tint="0.59999389629810485"/>
      </left>
      <right style="thin">
        <color theme="5" tint="0.59999389629810485"/>
      </right>
      <top/>
      <bottom style="medium">
        <color theme="1"/>
      </bottom>
      <diagonal/>
    </border>
    <border>
      <left/>
      <right style="thin">
        <color theme="1"/>
      </right>
      <top style="thin">
        <color theme="1"/>
      </top>
      <bottom style="medium">
        <color theme="1"/>
      </bottom>
      <diagonal/>
    </border>
    <border>
      <left style="thin">
        <color theme="1"/>
      </left>
      <right style="medium">
        <color theme="1"/>
      </right>
      <top/>
      <bottom style="medium">
        <color theme="1"/>
      </bottom>
      <diagonal/>
    </border>
    <border>
      <left style="dashed">
        <color theme="1"/>
      </left>
      <right style="medium">
        <color theme="1"/>
      </right>
      <top/>
      <bottom/>
      <diagonal/>
    </border>
    <border>
      <left style="thin">
        <color indexed="64"/>
      </left>
      <right style="medium">
        <color theme="1"/>
      </right>
      <top/>
      <bottom/>
      <diagonal/>
    </border>
    <border>
      <left style="thin">
        <color theme="5" tint="0.39997558519241921"/>
      </left>
      <right style="thin">
        <color theme="5" tint="0.39997558519241921"/>
      </right>
      <top style="medium">
        <color theme="1"/>
      </top>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thin">
        <color theme="1"/>
      </bottom>
      <diagonal/>
    </border>
    <border>
      <left style="thin">
        <color theme="1"/>
      </left>
      <right style="medium">
        <color theme="1"/>
      </right>
      <top style="thin">
        <color theme="1"/>
      </top>
      <bottom style="medium">
        <color theme="1"/>
      </bottom>
      <diagonal/>
    </border>
    <border>
      <left style="thin">
        <color theme="5" tint="0.39997558519241921"/>
      </left>
      <right style="thin">
        <color theme="5" tint="0.39997558519241921"/>
      </right>
      <top/>
      <bottom style="medium">
        <color theme="1"/>
      </bottom>
      <diagonal/>
    </border>
    <border>
      <left style="thin">
        <color theme="7"/>
      </left>
      <right style="thin">
        <color theme="7"/>
      </right>
      <top style="medium">
        <color theme="1"/>
      </top>
      <bottom style="thin">
        <color theme="7"/>
      </bottom>
      <diagonal/>
    </border>
    <border>
      <left style="thin">
        <color theme="7"/>
      </left>
      <right/>
      <top style="medium">
        <color theme="1"/>
      </top>
      <bottom/>
      <diagonal/>
    </border>
    <border>
      <left style="thin">
        <color theme="5" tint="0.39997558519241921"/>
      </left>
      <right/>
      <top style="medium">
        <color theme="1"/>
      </top>
      <bottom style="thin">
        <color theme="5" tint="0.39997558519241921"/>
      </bottom>
      <diagonal/>
    </border>
    <border>
      <left style="thin">
        <color theme="1"/>
      </left>
      <right style="medium">
        <color theme="1"/>
      </right>
      <top style="thin">
        <color theme="1"/>
      </top>
      <bottom/>
      <diagonal/>
    </border>
    <border>
      <left style="thin">
        <color theme="1"/>
      </left>
      <right style="thin">
        <color theme="1"/>
      </right>
      <top/>
      <bottom style="thin">
        <color indexed="64"/>
      </bottom>
      <diagonal/>
    </border>
    <border>
      <left style="thin">
        <color theme="5" tint="0.39997558519241921"/>
      </left>
      <right style="thin">
        <color theme="5" tint="0.39997558519241921"/>
      </right>
      <top/>
      <bottom style="thin">
        <color indexed="64"/>
      </bottom>
      <diagonal/>
    </border>
  </borders>
  <cellStyleXfs count="2">
    <xf numFmtId="0" fontId="0" fillId="0" borderId="0"/>
    <xf numFmtId="9" fontId="5" fillId="0" borderId="0" applyFont="0" applyFill="0" applyBorder="0" applyAlignment="0" applyProtection="0"/>
  </cellStyleXfs>
  <cellXfs count="396">
    <xf numFmtId="0" fontId="0" fillId="0" borderId="0" xfId="0"/>
    <xf numFmtId="0" fontId="1" fillId="0" borderId="0" xfId="0" applyFont="1"/>
    <xf numFmtId="0" fontId="1" fillId="2" borderId="0" xfId="0" applyFont="1" applyFill="1"/>
    <xf numFmtId="0" fontId="2" fillId="2" borderId="2" xfId="0" applyFont="1" applyFill="1" applyBorder="1" applyAlignment="1">
      <alignment vertical="top"/>
    </xf>
    <xf numFmtId="0" fontId="1" fillId="0" borderId="1" xfId="0" applyFont="1" applyBorder="1"/>
    <xf numFmtId="0" fontId="1" fillId="0" borderId="7" xfId="0" applyFont="1" applyBorder="1"/>
    <xf numFmtId="0" fontId="1" fillId="2" borderId="3" xfId="0" applyFont="1" applyFill="1" applyBorder="1" applyAlignment="1">
      <alignment horizontal="left" vertical="top" wrapText="1"/>
    </xf>
    <xf numFmtId="0" fontId="1" fillId="2" borderId="3" xfId="0" applyFont="1" applyFill="1" applyBorder="1" applyAlignment="1">
      <alignment vertical="top" wrapText="1"/>
    </xf>
    <xf numFmtId="0" fontId="1" fillId="2" borderId="18" xfId="0" applyFont="1" applyFill="1" applyBorder="1" applyAlignment="1">
      <alignment vertical="top" wrapText="1"/>
    </xf>
    <xf numFmtId="0" fontId="1" fillId="2" borderId="0" xfId="0" applyFont="1" applyFill="1" applyAlignment="1">
      <alignment horizontal="center"/>
    </xf>
    <xf numFmtId="0" fontId="1" fillId="2" borderId="7" xfId="0" applyFont="1" applyFill="1" applyBorder="1" applyAlignment="1">
      <alignment horizontal="center" vertical="top" wrapText="1"/>
    </xf>
    <xf numFmtId="0" fontId="1" fillId="2" borderId="21" xfId="0" applyFont="1" applyFill="1" applyBorder="1" applyAlignment="1">
      <alignment vertical="top" wrapText="1"/>
    </xf>
    <xf numFmtId="0" fontId="1" fillId="2" borderId="22" xfId="0" applyFont="1" applyFill="1" applyBorder="1" applyAlignment="1">
      <alignment vertical="top" wrapText="1"/>
    </xf>
    <xf numFmtId="0" fontId="1" fillId="0" borderId="9" xfId="0" applyFont="1" applyBorder="1" applyAlignment="1">
      <alignment horizontal="center" vertical="top" wrapText="1"/>
    </xf>
    <xf numFmtId="0" fontId="1" fillId="0" borderId="6" xfId="0" applyFont="1" applyBorder="1" applyAlignment="1">
      <alignment horizontal="center" vertical="top" wrapText="1"/>
    </xf>
    <xf numFmtId="0" fontId="1" fillId="0" borderId="11" xfId="0" applyFont="1" applyBorder="1" applyAlignment="1">
      <alignment horizontal="center" vertical="top" wrapText="1"/>
    </xf>
    <xf numFmtId="0" fontId="1" fillId="2" borderId="23" xfId="0" applyFont="1" applyFill="1" applyBorder="1" applyAlignment="1">
      <alignment vertical="top" wrapText="1"/>
    </xf>
    <xf numFmtId="0" fontId="1" fillId="2" borderId="24" xfId="0" applyFont="1" applyFill="1" applyBorder="1" applyAlignment="1">
      <alignment vertical="top" wrapText="1"/>
    </xf>
    <xf numFmtId="0" fontId="1" fillId="2" borderId="27" xfId="0" applyFont="1" applyFill="1" applyBorder="1" applyAlignment="1">
      <alignment vertical="top" wrapText="1"/>
    </xf>
    <xf numFmtId="0" fontId="1" fillId="2" borderId="38" xfId="0" applyFont="1" applyFill="1" applyBorder="1" applyAlignment="1">
      <alignment vertical="top" wrapText="1"/>
    </xf>
    <xf numFmtId="0" fontId="1" fillId="2" borderId="40" xfId="0" applyFont="1" applyFill="1" applyBorder="1" applyAlignment="1">
      <alignment horizontal="center" vertical="top" wrapText="1"/>
    </xf>
    <xf numFmtId="0" fontId="1" fillId="2" borderId="63" xfId="0" applyFont="1" applyFill="1" applyBorder="1" applyAlignment="1">
      <alignment vertical="top" wrapText="1"/>
    </xf>
    <xf numFmtId="0" fontId="1" fillId="2" borderId="64" xfId="0" applyFont="1" applyFill="1" applyBorder="1" applyAlignment="1">
      <alignment vertical="top" wrapText="1"/>
    </xf>
    <xf numFmtId="0" fontId="1" fillId="0" borderId="54" xfId="0" applyFont="1" applyBorder="1" applyAlignment="1">
      <alignment horizontal="center" vertical="top" wrapText="1"/>
    </xf>
    <xf numFmtId="0" fontId="1" fillId="0" borderId="47" xfId="0" applyFont="1" applyBorder="1" applyAlignment="1">
      <alignment horizontal="center" vertical="top" wrapText="1"/>
    </xf>
    <xf numFmtId="0" fontId="1" fillId="0" borderId="49" xfId="0" applyFont="1" applyBorder="1" applyAlignment="1">
      <alignment horizontal="center" vertical="top" wrapText="1"/>
    </xf>
    <xf numFmtId="0" fontId="1" fillId="2" borderId="67" xfId="0" applyFont="1" applyFill="1" applyBorder="1" applyAlignment="1">
      <alignment vertical="top" wrapText="1"/>
    </xf>
    <xf numFmtId="0" fontId="1" fillId="2" borderId="68" xfId="0" applyFont="1" applyFill="1" applyBorder="1" applyAlignment="1">
      <alignment vertical="top" wrapText="1"/>
    </xf>
    <xf numFmtId="0" fontId="1" fillId="0" borderId="8" xfId="0" applyFont="1" applyBorder="1" applyAlignment="1">
      <alignment vertical="top" wrapText="1"/>
    </xf>
    <xf numFmtId="0" fontId="1" fillId="0" borderId="63" xfId="0" applyFont="1" applyBorder="1" applyAlignment="1">
      <alignment vertical="top" wrapText="1"/>
    </xf>
    <xf numFmtId="0" fontId="1" fillId="0" borderId="64" xfId="0" applyFont="1" applyBorder="1" applyAlignment="1">
      <alignment vertical="top" wrapText="1"/>
    </xf>
    <xf numFmtId="0" fontId="1" fillId="2" borderId="0" xfId="0" applyFont="1" applyFill="1" applyAlignment="1">
      <alignment horizontal="left"/>
    </xf>
    <xf numFmtId="0" fontId="2" fillId="2" borderId="2" xfId="0" applyFont="1" applyFill="1" applyBorder="1" applyAlignment="1">
      <alignment horizontal="left" vertical="top"/>
    </xf>
    <xf numFmtId="0" fontId="2" fillId="2" borderId="2" xfId="0" applyFont="1" applyFill="1" applyBorder="1" applyAlignment="1">
      <alignment horizontal="center" vertical="top"/>
    </xf>
    <xf numFmtId="0" fontId="2" fillId="2" borderId="12" xfId="0" applyFont="1" applyFill="1" applyBorder="1" applyAlignment="1">
      <alignment horizontal="center" vertical="top"/>
    </xf>
    <xf numFmtId="0" fontId="1" fillId="2" borderId="24" xfId="0" applyFont="1" applyFill="1" applyBorder="1" applyAlignment="1">
      <alignment horizontal="center" vertical="top" wrapText="1"/>
    </xf>
    <xf numFmtId="0" fontId="1" fillId="2" borderId="57" xfId="0" applyFont="1" applyFill="1" applyBorder="1" applyAlignment="1">
      <alignment horizontal="center" vertical="top" wrapText="1"/>
    </xf>
    <xf numFmtId="0" fontId="1" fillId="0" borderId="71" xfId="0" applyFont="1" applyBorder="1" applyAlignment="1">
      <alignment vertical="top" wrapText="1"/>
    </xf>
    <xf numFmtId="0" fontId="1" fillId="0" borderId="0" xfId="0" applyFont="1" applyAlignment="1">
      <alignment horizontal="center"/>
    </xf>
    <xf numFmtId="0" fontId="1" fillId="0" borderId="49" xfId="0" applyFont="1" applyBorder="1" applyAlignment="1">
      <alignment horizontal="center" vertical="top"/>
    </xf>
    <xf numFmtId="0" fontId="1" fillId="0" borderId="52" xfId="0" applyFont="1" applyBorder="1" applyAlignment="1">
      <alignment horizontal="center" vertical="top" wrapText="1"/>
    </xf>
    <xf numFmtId="0" fontId="1" fillId="2" borderId="40" xfId="0" applyFont="1" applyFill="1" applyBorder="1" applyAlignment="1">
      <alignment horizontal="left" vertical="top" wrapText="1"/>
    </xf>
    <xf numFmtId="0" fontId="1" fillId="0" borderId="10" xfId="0" applyFont="1" applyBorder="1" applyAlignment="1">
      <alignment horizontal="center" vertical="top" wrapText="1"/>
    </xf>
    <xf numFmtId="0" fontId="1" fillId="2" borderId="28" xfId="0" applyFont="1" applyFill="1" applyBorder="1" applyAlignment="1">
      <alignment horizontal="left" vertical="top" wrapText="1"/>
    </xf>
    <xf numFmtId="0" fontId="1" fillId="2" borderId="19"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2" borderId="20" xfId="0" applyFont="1" applyFill="1" applyBorder="1" applyAlignment="1">
      <alignment horizontal="left" vertical="top" wrapText="1"/>
    </xf>
    <xf numFmtId="0" fontId="1" fillId="2" borderId="39" xfId="0" applyFont="1" applyFill="1" applyBorder="1" applyAlignment="1">
      <alignment horizontal="left" vertical="top" wrapText="1"/>
    </xf>
    <xf numFmtId="0" fontId="1" fillId="2" borderId="60" xfId="0" applyFont="1" applyFill="1" applyBorder="1" applyAlignment="1">
      <alignment horizontal="left" vertical="top" wrapText="1"/>
    </xf>
    <xf numFmtId="0" fontId="1" fillId="2" borderId="61" xfId="0" applyFont="1" applyFill="1" applyBorder="1" applyAlignment="1">
      <alignment horizontal="left" vertical="top" wrapText="1"/>
    </xf>
    <xf numFmtId="0" fontId="1" fillId="2" borderId="62" xfId="0" applyFont="1" applyFill="1" applyBorder="1" applyAlignment="1">
      <alignment horizontal="left" vertical="top" wrapText="1"/>
    </xf>
    <xf numFmtId="0" fontId="1" fillId="2" borderId="25" xfId="0" applyFont="1" applyFill="1" applyBorder="1" applyAlignment="1">
      <alignment horizontal="left" vertical="top" wrapText="1"/>
    </xf>
    <xf numFmtId="0" fontId="1" fillId="2" borderId="69" xfId="0" applyFont="1" applyFill="1" applyBorder="1" applyAlignment="1">
      <alignment horizontal="left" vertical="top" wrapText="1"/>
    </xf>
    <xf numFmtId="0" fontId="1" fillId="2" borderId="74" xfId="0" applyFont="1" applyFill="1" applyBorder="1" applyAlignment="1">
      <alignment horizontal="left" vertical="top" wrapText="1"/>
    </xf>
    <xf numFmtId="0" fontId="1" fillId="0" borderId="61" xfId="0" applyFont="1" applyBorder="1" applyAlignment="1">
      <alignment horizontal="left" vertical="top" wrapText="1"/>
    </xf>
    <xf numFmtId="0" fontId="1" fillId="2" borderId="61" xfId="0" applyFont="1" applyFill="1" applyBorder="1" applyAlignment="1">
      <alignment horizontal="left" vertical="top"/>
    </xf>
    <xf numFmtId="0" fontId="1" fillId="2" borderId="62" xfId="0" applyFont="1" applyFill="1" applyBorder="1" applyAlignment="1">
      <alignment horizontal="left" vertical="top"/>
    </xf>
    <xf numFmtId="0" fontId="1" fillId="0" borderId="23" xfId="0" applyFont="1" applyBorder="1" applyAlignment="1">
      <alignment horizontal="center" vertical="top" wrapText="1"/>
    </xf>
    <xf numFmtId="0" fontId="1" fillId="0" borderId="75" xfId="0" applyFont="1" applyBorder="1" applyAlignment="1">
      <alignment horizontal="center" vertical="top" wrapText="1"/>
    </xf>
    <xf numFmtId="0" fontId="1" fillId="2" borderId="73" xfId="0" applyFont="1" applyFill="1" applyBorder="1" applyAlignment="1">
      <alignment vertical="top" wrapText="1"/>
    </xf>
    <xf numFmtId="0" fontId="1" fillId="2" borderId="40" xfId="0" applyFont="1" applyFill="1" applyBorder="1" applyAlignment="1">
      <alignment vertical="top" wrapText="1"/>
    </xf>
    <xf numFmtId="0" fontId="1" fillId="2" borderId="43" xfId="0" applyFont="1" applyFill="1" applyBorder="1" applyAlignment="1">
      <alignment vertical="top" wrapText="1"/>
    </xf>
    <xf numFmtId="0" fontId="1" fillId="2" borderId="46" xfId="0" applyFont="1" applyFill="1" applyBorder="1" applyAlignment="1">
      <alignment vertical="top" wrapText="1"/>
    </xf>
    <xf numFmtId="0" fontId="3" fillId="2" borderId="44" xfId="0" applyFont="1" applyFill="1" applyBorder="1" applyAlignment="1">
      <alignment vertical="top" wrapText="1"/>
    </xf>
    <xf numFmtId="0" fontId="1" fillId="2" borderId="41" xfId="0" applyFont="1" applyFill="1" applyBorder="1" applyAlignment="1">
      <alignment vertical="top" wrapText="1"/>
    </xf>
    <xf numFmtId="0" fontId="3" fillId="2" borderId="40" xfId="0" applyFont="1" applyFill="1" applyBorder="1" applyAlignment="1">
      <alignment vertical="top" wrapText="1"/>
    </xf>
    <xf numFmtId="0" fontId="3" fillId="2" borderId="46" xfId="0" applyFont="1" applyFill="1" applyBorder="1" applyAlignment="1">
      <alignment vertical="top" wrapText="1"/>
    </xf>
    <xf numFmtId="0" fontId="1" fillId="2" borderId="63" xfId="0" applyFont="1" applyFill="1" applyBorder="1" applyAlignment="1">
      <alignment horizontal="left" vertical="top" wrapText="1"/>
    </xf>
    <xf numFmtId="0" fontId="1" fillId="2" borderId="8" xfId="0" applyFont="1" applyFill="1" applyBorder="1" applyAlignment="1">
      <alignment vertical="top" wrapText="1"/>
    </xf>
    <xf numFmtId="0" fontId="1" fillId="2" borderId="71" xfId="0" applyFont="1" applyFill="1" applyBorder="1" applyAlignment="1">
      <alignment vertical="top" wrapText="1"/>
    </xf>
    <xf numFmtId="0" fontId="1" fillId="2" borderId="61" xfId="0" applyFont="1" applyFill="1" applyBorder="1" applyAlignment="1">
      <alignment vertical="top" wrapText="1"/>
    </xf>
    <xf numFmtId="0" fontId="1" fillId="2" borderId="62" xfId="0" applyFont="1" applyFill="1" applyBorder="1" applyAlignment="1">
      <alignment vertical="top" wrapText="1"/>
    </xf>
    <xf numFmtId="0" fontId="1" fillId="0" borderId="49" xfId="0" applyFont="1" applyBorder="1" applyAlignment="1">
      <alignment vertical="center" wrapText="1"/>
    </xf>
    <xf numFmtId="0" fontId="1" fillId="0" borderId="66" xfId="0" applyFont="1" applyBorder="1" applyAlignment="1">
      <alignment horizontal="center" vertical="top" wrapText="1"/>
    </xf>
    <xf numFmtId="0" fontId="1" fillId="0" borderId="68" xfId="0" applyFont="1" applyBorder="1" applyAlignment="1">
      <alignment vertical="top" wrapText="1"/>
    </xf>
    <xf numFmtId="0" fontId="3" fillId="2" borderId="41" xfId="0" applyFont="1" applyFill="1" applyBorder="1" applyAlignment="1">
      <alignment vertical="top" wrapText="1"/>
    </xf>
    <xf numFmtId="0" fontId="1" fillId="0" borderId="21" xfId="0" applyFont="1" applyBorder="1" applyAlignment="1">
      <alignment horizontal="center" vertical="top" wrapText="1"/>
    </xf>
    <xf numFmtId="0" fontId="1" fillId="0" borderId="22" xfId="0" applyFont="1" applyBorder="1" applyAlignment="1">
      <alignment horizontal="center" vertical="top" wrapText="1"/>
    </xf>
    <xf numFmtId="0" fontId="1" fillId="2" borderId="78" xfId="0" applyFont="1" applyFill="1" applyBorder="1" applyAlignment="1">
      <alignment vertical="top" wrapText="1"/>
    </xf>
    <xf numFmtId="0" fontId="1" fillId="0" borderId="71" xfId="0" applyFont="1" applyBorder="1" applyAlignment="1">
      <alignment horizontal="center" vertical="center" wrapText="1"/>
    </xf>
    <xf numFmtId="0" fontId="1" fillId="0" borderId="79" xfId="0" applyFont="1" applyBorder="1" applyAlignment="1">
      <alignment horizontal="center" vertical="center" wrapText="1"/>
    </xf>
    <xf numFmtId="0" fontId="1" fillId="0" borderId="49" xfId="0" applyFont="1" applyBorder="1" applyAlignment="1">
      <alignment horizontal="center" vertical="center"/>
    </xf>
    <xf numFmtId="0" fontId="1" fillId="0" borderId="41" xfId="0" applyFont="1" applyBorder="1" applyAlignment="1">
      <alignment vertical="top" wrapText="1"/>
    </xf>
    <xf numFmtId="0" fontId="1" fillId="2" borderId="60" xfId="0" applyFont="1" applyFill="1" applyBorder="1" applyAlignment="1">
      <alignment vertical="top" wrapText="1"/>
    </xf>
    <xf numFmtId="0" fontId="1" fillId="2" borderId="76" xfId="0" applyFont="1" applyFill="1" applyBorder="1" applyAlignment="1">
      <alignment vertical="top" wrapText="1"/>
    </xf>
    <xf numFmtId="0" fontId="1" fillId="2" borderId="83" xfId="0" applyFont="1" applyFill="1" applyBorder="1" applyAlignment="1">
      <alignment vertical="top" wrapText="1"/>
    </xf>
    <xf numFmtId="0" fontId="3" fillId="2" borderId="61" xfId="0" applyFont="1" applyFill="1" applyBorder="1" applyAlignment="1">
      <alignment vertical="top" wrapText="1"/>
    </xf>
    <xf numFmtId="0" fontId="3" fillId="2" borderId="60" xfId="0" applyFont="1" applyFill="1" applyBorder="1" applyAlignment="1">
      <alignment vertical="top" wrapText="1"/>
    </xf>
    <xf numFmtId="0" fontId="1" fillId="2" borderId="80" xfId="0" applyFont="1" applyFill="1" applyBorder="1" applyAlignment="1">
      <alignment horizontal="left" vertical="top" wrapText="1"/>
    </xf>
    <xf numFmtId="0" fontId="1" fillId="0" borderId="71" xfId="0" applyFont="1" applyBorder="1" applyAlignment="1">
      <alignment horizontal="center" vertical="top" wrapText="1"/>
    </xf>
    <xf numFmtId="0" fontId="1" fillId="0" borderId="79" xfId="0" applyFont="1" applyBorder="1" applyAlignment="1">
      <alignment horizontal="center" vertical="top" wrapText="1"/>
    </xf>
    <xf numFmtId="0" fontId="1" fillId="2" borderId="84" xfId="0" applyFont="1" applyFill="1" applyBorder="1" applyAlignment="1">
      <alignment vertical="top" wrapText="1"/>
    </xf>
    <xf numFmtId="0" fontId="1" fillId="2" borderId="85" xfId="0" applyFont="1" applyFill="1" applyBorder="1" applyAlignment="1">
      <alignment vertical="top" wrapText="1"/>
    </xf>
    <xf numFmtId="0" fontId="1" fillId="2" borderId="77" xfId="0" applyFont="1" applyFill="1" applyBorder="1" applyAlignment="1">
      <alignment vertical="top" wrapText="1"/>
    </xf>
    <xf numFmtId="0" fontId="1" fillId="2" borderId="76" xfId="0" applyFont="1" applyFill="1" applyBorder="1" applyAlignment="1">
      <alignment horizontal="left" vertical="top" wrapText="1"/>
    </xf>
    <xf numFmtId="0" fontId="1" fillId="0" borderId="40" xfId="0" applyFont="1" applyBorder="1" applyAlignment="1">
      <alignment vertical="top" wrapText="1"/>
    </xf>
    <xf numFmtId="0" fontId="1" fillId="0" borderId="49" xfId="0" applyFont="1" applyBorder="1" applyAlignment="1">
      <alignment horizontal="center" vertical="center" wrapText="1"/>
    </xf>
    <xf numFmtId="0" fontId="2" fillId="2" borderId="12" xfId="0" applyFont="1" applyFill="1" applyBorder="1" applyAlignment="1">
      <alignment vertical="top"/>
    </xf>
    <xf numFmtId="0" fontId="2" fillId="2" borderId="86" xfId="0" applyFont="1" applyFill="1" applyBorder="1" applyAlignment="1">
      <alignment vertical="top"/>
    </xf>
    <xf numFmtId="0" fontId="2" fillId="2" borderId="82" xfId="0" applyFont="1" applyFill="1" applyBorder="1"/>
    <xf numFmtId="0" fontId="2" fillId="2" borderId="65" xfId="0" applyFont="1" applyFill="1" applyBorder="1"/>
    <xf numFmtId="0" fontId="2" fillId="2" borderId="87" xfId="0" applyFont="1" applyFill="1" applyBorder="1" applyAlignment="1">
      <alignment horizontal="left"/>
    </xf>
    <xf numFmtId="0" fontId="2" fillId="0" borderId="33" xfId="0" applyFont="1" applyBorder="1" applyAlignment="1">
      <alignment horizontal="center"/>
    </xf>
    <xf numFmtId="0" fontId="1" fillId="2" borderId="69" xfId="0" applyFont="1" applyFill="1" applyBorder="1" applyAlignment="1">
      <alignment vertical="top" wrapText="1"/>
    </xf>
    <xf numFmtId="0" fontId="1" fillId="0" borderId="43" xfId="0" applyFont="1" applyBorder="1" applyAlignment="1">
      <alignment vertical="top" wrapText="1"/>
    </xf>
    <xf numFmtId="0" fontId="1" fillId="2" borderId="69" xfId="0" applyFont="1" applyFill="1" applyBorder="1" applyAlignment="1">
      <alignment horizontal="left" vertical="top"/>
    </xf>
    <xf numFmtId="0" fontId="3" fillId="2" borderId="83" xfId="0" applyFont="1" applyFill="1" applyBorder="1" applyAlignment="1">
      <alignment vertical="top" wrapText="1"/>
    </xf>
    <xf numFmtId="0" fontId="1" fillId="2" borderId="88" xfId="0" applyFont="1" applyFill="1" applyBorder="1" applyAlignment="1">
      <alignment vertical="top" wrapText="1"/>
    </xf>
    <xf numFmtId="0" fontId="3" fillId="2" borderId="69" xfId="0" applyFont="1" applyFill="1" applyBorder="1" applyAlignment="1">
      <alignment vertical="top" wrapText="1"/>
    </xf>
    <xf numFmtId="0" fontId="1" fillId="2" borderId="81" xfId="0" applyFont="1" applyFill="1" applyBorder="1" applyAlignment="1">
      <alignment vertical="top" wrapText="1"/>
    </xf>
    <xf numFmtId="0" fontId="3" fillId="2" borderId="89" xfId="0" applyFont="1" applyFill="1" applyBorder="1" applyAlignment="1">
      <alignment vertical="top" wrapText="1"/>
    </xf>
    <xf numFmtId="0" fontId="3" fillId="2" borderId="90" xfId="0" applyFont="1" applyFill="1" applyBorder="1" applyAlignment="1">
      <alignment vertical="top" wrapText="1"/>
    </xf>
    <xf numFmtId="0" fontId="1" fillId="2" borderId="90" xfId="0" applyFont="1" applyFill="1" applyBorder="1" applyAlignment="1">
      <alignment vertical="top" wrapText="1"/>
    </xf>
    <xf numFmtId="0" fontId="1" fillId="2" borderId="91" xfId="0" applyFont="1" applyFill="1" applyBorder="1" applyAlignment="1">
      <alignment vertical="top" wrapText="1"/>
    </xf>
    <xf numFmtId="0" fontId="1" fillId="2" borderId="89" xfId="0" applyFont="1" applyFill="1" applyBorder="1" applyAlignment="1">
      <alignment horizontal="left" vertical="top" wrapText="1"/>
    </xf>
    <xf numFmtId="0" fontId="1" fillId="0" borderId="92" xfId="0" applyFont="1" applyBorder="1" applyAlignment="1">
      <alignment horizontal="center" vertical="top" wrapText="1"/>
    </xf>
    <xf numFmtId="0" fontId="4" fillId="2" borderId="57" xfId="0" applyFont="1" applyFill="1" applyBorder="1" applyAlignment="1">
      <alignment vertical="top" wrapText="1"/>
    </xf>
    <xf numFmtId="0" fontId="4" fillId="0" borderId="57" xfId="0" applyFont="1" applyBorder="1" applyAlignment="1">
      <alignment vertical="top" wrapText="1"/>
    </xf>
    <xf numFmtId="0" fontId="4" fillId="3" borderId="57" xfId="0" applyFont="1" applyFill="1" applyBorder="1" applyAlignment="1">
      <alignment horizontal="left" vertical="top" wrapText="1"/>
    </xf>
    <xf numFmtId="0" fontId="4" fillId="2" borderId="57" xfId="0" applyFont="1" applyFill="1" applyBorder="1" applyAlignment="1">
      <alignment horizontal="left" vertical="top" wrapText="1"/>
    </xf>
    <xf numFmtId="0" fontId="1" fillId="2" borderId="29" xfId="0" applyFont="1" applyFill="1" applyBorder="1" applyAlignment="1">
      <alignment vertical="top" wrapText="1"/>
    </xf>
    <xf numFmtId="0" fontId="1" fillId="2" borderId="31" xfId="0" applyFont="1" applyFill="1" applyBorder="1" applyAlignment="1">
      <alignment vertical="top" wrapText="1"/>
    </xf>
    <xf numFmtId="0" fontId="1" fillId="0" borderId="32" xfId="0" applyFont="1" applyBorder="1" applyAlignment="1">
      <alignment vertical="top" wrapText="1"/>
    </xf>
    <xf numFmtId="0" fontId="1" fillId="3" borderId="31" xfId="0" applyFont="1" applyFill="1" applyBorder="1" applyAlignment="1">
      <alignment horizontal="left" vertical="top" wrapText="1"/>
    </xf>
    <xf numFmtId="0" fontId="1" fillId="3" borderId="33" xfId="0" applyFont="1" applyFill="1" applyBorder="1" applyAlignment="1">
      <alignment horizontal="left" vertical="top" wrapText="1"/>
    </xf>
    <xf numFmtId="0" fontId="1" fillId="3" borderId="34" xfId="0" applyFont="1" applyFill="1" applyBorder="1" applyAlignment="1">
      <alignment horizontal="left" vertical="top" wrapText="1"/>
    </xf>
    <xf numFmtId="0" fontId="1" fillId="3" borderId="35" xfId="0" applyFont="1" applyFill="1" applyBorder="1" applyAlignment="1">
      <alignment horizontal="left" vertical="top" wrapText="1"/>
    </xf>
    <xf numFmtId="0" fontId="1" fillId="2" borderId="44" xfId="0" applyFont="1" applyFill="1" applyBorder="1" applyAlignment="1">
      <alignment horizontal="center" vertical="top" wrapText="1"/>
    </xf>
    <xf numFmtId="0" fontId="3" fillId="2" borderId="44" xfId="0" applyFont="1" applyFill="1" applyBorder="1" applyAlignment="1">
      <alignment horizontal="center" vertical="top" wrapText="1"/>
    </xf>
    <xf numFmtId="0" fontId="3" fillId="2" borderId="44" xfId="0" applyFont="1" applyFill="1" applyBorder="1" applyAlignment="1">
      <alignment horizontal="left" vertical="top" wrapText="1"/>
    </xf>
    <xf numFmtId="0" fontId="2" fillId="2" borderId="48" xfId="0" applyFont="1" applyFill="1" applyBorder="1" applyAlignment="1">
      <alignment horizontal="left" vertical="top" wrapText="1"/>
    </xf>
    <xf numFmtId="0" fontId="1" fillId="3" borderId="104" xfId="0" applyFont="1" applyFill="1" applyBorder="1" applyAlignment="1">
      <alignment horizontal="left" vertical="top" wrapText="1"/>
    </xf>
    <xf numFmtId="0" fontId="1" fillId="3" borderId="105" xfId="0" applyFont="1" applyFill="1" applyBorder="1" applyAlignment="1">
      <alignment horizontal="left" vertical="top" wrapText="1"/>
    </xf>
    <xf numFmtId="0" fontId="1" fillId="3" borderId="106" xfId="0" applyFont="1" applyFill="1" applyBorder="1" applyAlignment="1">
      <alignment horizontal="left" vertical="top" wrapText="1"/>
    </xf>
    <xf numFmtId="164" fontId="1" fillId="2" borderId="98" xfId="0" applyNumberFormat="1" applyFont="1" applyFill="1" applyBorder="1" applyAlignment="1">
      <alignment horizontal="center" vertical="center"/>
    </xf>
    <xf numFmtId="164" fontId="1" fillId="2" borderId="107" xfId="0" applyNumberFormat="1" applyFont="1" applyFill="1" applyBorder="1" applyAlignment="1">
      <alignment horizontal="center" vertical="center"/>
    </xf>
    <xf numFmtId="164" fontId="1" fillId="2" borderId="108" xfId="0" applyNumberFormat="1" applyFont="1" applyFill="1" applyBorder="1" applyAlignment="1">
      <alignment horizontal="center" vertical="center"/>
    </xf>
    <xf numFmtId="164" fontId="1" fillId="2" borderId="109" xfId="0" applyNumberFormat="1" applyFont="1" applyFill="1" applyBorder="1" applyAlignment="1">
      <alignment horizontal="center" vertical="center"/>
    </xf>
    <xf numFmtId="0" fontId="1" fillId="3" borderId="110" xfId="0" applyFont="1" applyFill="1" applyBorder="1" applyAlignment="1">
      <alignment horizontal="left" vertical="top" wrapText="1"/>
    </xf>
    <xf numFmtId="0" fontId="1" fillId="2" borderId="104" xfId="0" applyFont="1" applyFill="1" applyBorder="1" applyAlignment="1">
      <alignment vertical="top" wrapText="1"/>
    </xf>
    <xf numFmtId="0" fontId="1" fillId="2" borderId="105" xfId="0" applyFont="1" applyFill="1" applyBorder="1" applyAlignment="1">
      <alignment horizontal="left" vertical="top" wrapText="1"/>
    </xf>
    <xf numFmtId="0" fontId="1" fillId="2" borderId="105" xfId="0" applyFont="1" applyFill="1" applyBorder="1" applyAlignment="1">
      <alignment vertical="top" wrapText="1"/>
    </xf>
    <xf numFmtId="0" fontId="1" fillId="2" borderId="106" xfId="0" applyFont="1" applyFill="1" applyBorder="1" applyAlignment="1">
      <alignment vertical="top" wrapText="1"/>
    </xf>
    <xf numFmtId="164" fontId="1" fillId="2" borderId="101" xfId="0" applyNumberFormat="1" applyFont="1" applyFill="1" applyBorder="1" applyAlignment="1">
      <alignment horizontal="center" vertical="center"/>
    </xf>
    <xf numFmtId="9" fontId="1" fillId="4" borderId="112" xfId="1" applyFont="1" applyFill="1" applyBorder="1" applyAlignment="1">
      <alignment horizontal="center" vertical="center"/>
    </xf>
    <xf numFmtId="9" fontId="2" fillId="4" borderId="112" xfId="1" applyFont="1" applyFill="1" applyBorder="1" applyAlignment="1">
      <alignment horizontal="center" vertical="center"/>
    </xf>
    <xf numFmtId="9" fontId="1" fillId="4" borderId="112" xfId="0" applyNumberFormat="1" applyFont="1" applyFill="1" applyBorder="1" applyAlignment="1">
      <alignment horizontal="center" vertical="center"/>
    </xf>
    <xf numFmtId="0" fontId="1" fillId="4" borderId="112" xfId="0" applyFont="1" applyFill="1" applyBorder="1" applyAlignment="1">
      <alignment horizontal="center" vertical="center"/>
    </xf>
    <xf numFmtId="0" fontId="1" fillId="0" borderId="112" xfId="0" applyFont="1" applyBorder="1"/>
    <xf numFmtId="164" fontId="1" fillId="4" borderId="112" xfId="1" applyNumberFormat="1" applyFont="1" applyFill="1" applyBorder="1" applyAlignment="1">
      <alignment vertical="center"/>
    </xf>
    <xf numFmtId="164" fontId="1" fillId="4" borderId="114" xfId="1" applyNumberFormat="1" applyFont="1" applyFill="1" applyBorder="1" applyAlignment="1">
      <alignment horizontal="center" vertical="center"/>
    </xf>
    <xf numFmtId="164" fontId="1" fillId="4" borderId="115" xfId="1" applyNumberFormat="1" applyFont="1" applyFill="1" applyBorder="1" applyAlignment="1">
      <alignment horizontal="center" vertical="center"/>
    </xf>
    <xf numFmtId="9" fontId="2" fillId="4" borderId="115" xfId="1" applyFont="1" applyFill="1" applyBorder="1" applyAlignment="1">
      <alignment horizontal="center" vertical="center"/>
    </xf>
    <xf numFmtId="0" fontId="1" fillId="0" borderId="114" xfId="0" applyFont="1" applyBorder="1"/>
    <xf numFmtId="0" fontId="1" fillId="0" borderId="117" xfId="0" applyFont="1" applyBorder="1"/>
    <xf numFmtId="164" fontId="2" fillId="2" borderId="121" xfId="0" applyNumberFormat="1" applyFont="1" applyFill="1" applyBorder="1" applyAlignment="1">
      <alignment horizontal="center" vertical="center" wrapText="1"/>
    </xf>
    <xf numFmtId="0" fontId="2" fillId="0" borderId="122" xfId="0" applyFont="1" applyBorder="1"/>
    <xf numFmtId="0" fontId="2" fillId="0" borderId="123" xfId="0" applyFont="1" applyBorder="1"/>
    <xf numFmtId="0" fontId="1" fillId="0" borderId="12" xfId="0" applyFont="1" applyBorder="1" applyAlignment="1">
      <alignment horizontal="center" vertical="top" wrapText="1"/>
    </xf>
    <xf numFmtId="0" fontId="1" fillId="0" borderId="125" xfId="0" applyFont="1" applyBorder="1" applyAlignment="1">
      <alignment horizontal="center" vertical="top" wrapText="1"/>
    </xf>
    <xf numFmtId="0" fontId="1" fillId="3" borderId="84" xfId="0" applyFont="1" applyFill="1" applyBorder="1" applyAlignment="1">
      <alignment horizontal="left" vertical="top" wrapText="1"/>
    </xf>
    <xf numFmtId="0" fontId="1" fillId="3" borderId="127" xfId="0" applyFont="1" applyFill="1" applyBorder="1" applyAlignment="1">
      <alignment horizontal="left" vertical="top" wrapText="1"/>
    </xf>
    <xf numFmtId="0" fontId="1" fillId="3" borderId="128" xfId="0" applyFont="1" applyFill="1" applyBorder="1" applyAlignment="1">
      <alignment horizontal="left" vertical="top" wrapText="1"/>
    </xf>
    <xf numFmtId="0" fontId="1" fillId="3" borderId="129" xfId="0" applyFont="1" applyFill="1" applyBorder="1" applyAlignment="1">
      <alignment horizontal="left" vertical="top" wrapText="1"/>
    </xf>
    <xf numFmtId="0" fontId="1" fillId="0" borderId="114" xfId="0" applyFont="1" applyBorder="1" applyAlignment="1">
      <alignment horizontal="center"/>
    </xf>
    <xf numFmtId="9" fontId="1" fillId="2" borderId="112" xfId="1" applyFont="1" applyFill="1" applyBorder="1" applyAlignment="1">
      <alignment horizontal="center" vertical="center"/>
    </xf>
    <xf numFmtId="164" fontId="1" fillId="2" borderId="112" xfId="1" applyNumberFormat="1" applyFont="1" applyFill="1" applyBorder="1" applyAlignment="1">
      <alignment horizontal="center" vertical="center"/>
    </xf>
    <xf numFmtId="9" fontId="2" fillId="2" borderId="112" xfId="1" applyFont="1" applyFill="1" applyBorder="1" applyAlignment="1">
      <alignment horizontal="center" vertical="center"/>
    </xf>
    <xf numFmtId="0" fontId="1" fillId="2" borderId="112" xfId="0" applyFont="1" applyFill="1" applyBorder="1" applyAlignment="1">
      <alignment horizontal="center" vertical="center"/>
    </xf>
    <xf numFmtId="0" fontId="1" fillId="2" borderId="43" xfId="0" applyFont="1" applyFill="1" applyBorder="1" applyAlignment="1">
      <alignment horizontal="center" vertical="top" wrapText="1"/>
    </xf>
    <xf numFmtId="0" fontId="1" fillId="0" borderId="135" xfId="0" applyFont="1" applyBorder="1"/>
    <xf numFmtId="0" fontId="1" fillId="0" borderId="136" xfId="0" applyFont="1" applyBorder="1" applyAlignment="1">
      <alignment horizontal="center" vertical="top" wrapText="1"/>
    </xf>
    <xf numFmtId="9" fontId="1" fillId="0" borderId="114" xfId="0" applyNumberFormat="1" applyFont="1" applyBorder="1"/>
    <xf numFmtId="9" fontId="1" fillId="0" borderId="114" xfId="0" applyNumberFormat="1" applyFont="1" applyBorder="1" applyAlignment="1">
      <alignment horizontal="center" vertical="center"/>
    </xf>
    <xf numFmtId="9" fontId="1" fillId="0" borderId="112" xfId="0" applyNumberFormat="1" applyFont="1" applyBorder="1" applyAlignment="1">
      <alignment horizontal="center" vertical="center"/>
    </xf>
    <xf numFmtId="9" fontId="1" fillId="0" borderId="135" xfId="0" applyNumberFormat="1" applyFont="1" applyBorder="1" applyAlignment="1">
      <alignment horizontal="center" vertical="center"/>
    </xf>
    <xf numFmtId="9" fontId="1" fillId="0" borderId="113" xfId="0" applyNumberFormat="1" applyFont="1" applyBorder="1" applyAlignment="1">
      <alignment horizontal="center" vertical="center"/>
    </xf>
    <xf numFmtId="9" fontId="1" fillId="0" borderId="115" xfId="0" applyNumberFormat="1" applyFont="1" applyBorder="1" applyAlignment="1">
      <alignment horizontal="center" vertical="center"/>
    </xf>
    <xf numFmtId="0" fontId="1" fillId="2" borderId="138" xfId="0" applyFont="1" applyFill="1" applyBorder="1" applyAlignment="1">
      <alignment vertical="top" wrapText="1"/>
    </xf>
    <xf numFmtId="0" fontId="1" fillId="2" borderId="48" xfId="0" applyFont="1" applyFill="1" applyBorder="1" applyAlignment="1">
      <alignment horizontal="left" vertical="top" wrapText="1"/>
    </xf>
    <xf numFmtId="0" fontId="1" fillId="3" borderId="0" xfId="0" applyFont="1" applyFill="1" applyAlignment="1">
      <alignment horizontal="left" vertical="top" wrapText="1"/>
    </xf>
    <xf numFmtId="0" fontId="1" fillId="2" borderId="44" xfId="0" applyFont="1" applyFill="1" applyBorder="1" applyAlignment="1">
      <alignment horizontal="left" vertical="top" wrapText="1"/>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139" xfId="0" applyFont="1" applyFill="1" applyBorder="1" applyAlignment="1">
      <alignment horizontal="left" vertical="top" wrapText="1"/>
    </xf>
    <xf numFmtId="0" fontId="1" fillId="0" borderId="0" xfId="0" applyFont="1" applyAlignment="1">
      <alignment horizontal="center" vertical="top" wrapText="1"/>
    </xf>
    <xf numFmtId="9" fontId="1" fillId="0" borderId="142" xfId="0" applyNumberFormat="1" applyFont="1" applyBorder="1" applyAlignment="1">
      <alignment horizontal="center" vertical="center"/>
    </xf>
    <xf numFmtId="0" fontId="1" fillId="0" borderId="113" xfId="0" applyFont="1" applyBorder="1"/>
    <xf numFmtId="0" fontId="1" fillId="0" borderId="142" xfId="0" applyFont="1" applyBorder="1"/>
    <xf numFmtId="164" fontId="1" fillId="2" borderId="144" xfId="0" applyNumberFormat="1" applyFont="1" applyFill="1" applyBorder="1" applyAlignment="1">
      <alignment horizontal="center" vertical="center"/>
    </xf>
    <xf numFmtId="9" fontId="1" fillId="0" borderId="147" xfId="0" applyNumberFormat="1" applyFont="1" applyBorder="1" applyAlignment="1">
      <alignment horizontal="center" vertical="center"/>
    </xf>
    <xf numFmtId="164" fontId="1" fillId="2" borderId="150" xfId="0" applyNumberFormat="1" applyFont="1" applyFill="1" applyBorder="1" applyAlignment="1">
      <alignment horizontal="center" vertical="center"/>
    </xf>
    <xf numFmtId="9" fontId="1" fillId="0" borderId="153" xfId="0" applyNumberFormat="1" applyFont="1" applyBorder="1" applyAlignment="1">
      <alignment horizontal="center" vertical="center"/>
    </xf>
    <xf numFmtId="0" fontId="1" fillId="0" borderId="155" xfId="0" applyFont="1" applyBorder="1" applyAlignment="1">
      <alignment horizontal="center" vertical="top" wrapText="1"/>
    </xf>
    <xf numFmtId="0" fontId="1" fillId="2" borderId="30" xfId="0" applyFont="1" applyFill="1" applyBorder="1" applyAlignment="1">
      <alignment horizontal="left" vertical="top" wrapText="1"/>
    </xf>
    <xf numFmtId="0" fontId="1" fillId="0" borderId="156" xfId="0" applyFont="1" applyBorder="1" applyAlignment="1">
      <alignment horizontal="center" vertical="top" wrapText="1"/>
    </xf>
    <xf numFmtId="9" fontId="1" fillId="0" borderId="158" xfId="0" applyNumberFormat="1" applyFont="1" applyBorder="1" applyAlignment="1">
      <alignment horizontal="center" vertical="center"/>
    </xf>
    <xf numFmtId="0" fontId="1" fillId="0" borderId="158" xfId="0" applyFont="1" applyBorder="1"/>
    <xf numFmtId="0" fontId="1" fillId="0" borderId="159" xfId="0" applyFont="1" applyBorder="1"/>
    <xf numFmtId="0" fontId="1" fillId="0" borderId="160" xfId="0" applyFont="1" applyBorder="1"/>
    <xf numFmtId="9" fontId="1" fillId="0" borderId="117" xfId="0" applyNumberFormat="1" applyFont="1" applyBorder="1" applyAlignment="1">
      <alignment horizontal="center" vertical="center"/>
    </xf>
    <xf numFmtId="0" fontId="1" fillId="0" borderId="161" xfId="0" applyFont="1" applyBorder="1"/>
    <xf numFmtId="0" fontId="1" fillId="0" borderId="115" xfId="0" applyFont="1" applyBorder="1"/>
    <xf numFmtId="9" fontId="1" fillId="4" borderId="158" xfId="1" applyFont="1" applyFill="1" applyBorder="1" applyAlignment="1">
      <alignment horizontal="center" vertical="center"/>
    </xf>
    <xf numFmtId="9" fontId="1" fillId="2" borderId="158" xfId="1" applyFont="1" applyFill="1" applyBorder="1" applyAlignment="1">
      <alignment horizontal="center" vertical="center"/>
    </xf>
    <xf numFmtId="164" fontId="2" fillId="4" borderId="160" xfId="1" applyNumberFormat="1" applyFont="1" applyFill="1" applyBorder="1" applyAlignment="1">
      <alignment horizontal="center" vertical="center"/>
    </xf>
    <xf numFmtId="9" fontId="1" fillId="4" borderId="117" xfId="0" applyNumberFormat="1" applyFont="1" applyFill="1" applyBorder="1" applyAlignment="1">
      <alignment horizontal="center" vertical="center"/>
    </xf>
    <xf numFmtId="0" fontId="1" fillId="6" borderId="130" xfId="0" applyFont="1" applyFill="1" applyBorder="1" applyAlignment="1">
      <alignment horizontal="center" vertical="top" wrapText="1"/>
    </xf>
    <xf numFmtId="0" fontId="1" fillId="6" borderId="24" xfId="0" applyFont="1" applyFill="1" applyBorder="1" applyAlignment="1">
      <alignment vertical="top" wrapText="1"/>
    </xf>
    <xf numFmtId="0" fontId="1" fillId="6" borderId="19" xfId="0" applyFont="1" applyFill="1" applyBorder="1" applyAlignment="1">
      <alignment horizontal="left" vertical="top" wrapText="1"/>
    </xf>
    <xf numFmtId="0" fontId="1" fillId="6" borderId="23" xfId="0" applyFont="1" applyFill="1" applyBorder="1" applyAlignment="1">
      <alignment horizontal="center" vertical="top" wrapText="1"/>
    </xf>
    <xf numFmtId="0" fontId="1" fillId="6" borderId="31" xfId="0" applyFont="1" applyFill="1" applyBorder="1" applyAlignment="1">
      <alignment vertical="top" wrapText="1"/>
    </xf>
    <xf numFmtId="0" fontId="1" fillId="6" borderId="4" xfId="0" applyFont="1" applyFill="1" applyBorder="1" applyAlignment="1">
      <alignment horizontal="center" vertical="top" wrapText="1"/>
    </xf>
    <xf numFmtId="0" fontId="1" fillId="6" borderId="8" xfId="0" applyFont="1" applyFill="1" applyBorder="1" applyAlignment="1">
      <alignment vertical="top" wrapText="1"/>
    </xf>
    <xf numFmtId="0" fontId="1" fillId="6" borderId="5" xfId="0" applyFont="1" applyFill="1" applyBorder="1" applyAlignment="1">
      <alignment horizontal="left" vertical="top" wrapText="1"/>
    </xf>
    <xf numFmtId="0" fontId="1" fillId="6" borderId="32" xfId="0" applyFont="1" applyFill="1" applyBorder="1" applyAlignment="1">
      <alignment vertical="top" wrapText="1"/>
    </xf>
    <xf numFmtId="0" fontId="1" fillId="6" borderId="21" xfId="0" applyFont="1" applyFill="1" applyBorder="1" applyAlignment="1">
      <alignment vertical="top" wrapText="1"/>
    </xf>
    <xf numFmtId="0" fontId="1" fillId="6" borderId="16" xfId="0" applyFont="1" applyFill="1" applyBorder="1" applyAlignment="1">
      <alignment horizontal="left" vertical="top" wrapText="1"/>
    </xf>
    <xf numFmtId="0" fontId="1" fillId="6" borderId="11" xfId="0" applyFont="1" applyFill="1" applyBorder="1" applyAlignment="1">
      <alignment horizontal="center" vertical="top" wrapText="1"/>
    </xf>
    <xf numFmtId="0" fontId="1" fillId="6" borderId="33" xfId="0" applyFont="1" applyFill="1" applyBorder="1" applyAlignment="1">
      <alignment horizontal="left" vertical="top" wrapText="1"/>
    </xf>
    <xf numFmtId="0" fontId="1" fillId="6" borderId="15" xfId="0" applyFont="1" applyFill="1" applyBorder="1" applyAlignment="1">
      <alignment horizontal="left" vertical="top" wrapText="1"/>
    </xf>
    <xf numFmtId="0" fontId="1" fillId="6" borderId="23" xfId="0" applyFont="1" applyFill="1" applyBorder="1" applyAlignment="1">
      <alignment vertical="top" wrapText="1"/>
    </xf>
    <xf numFmtId="0" fontId="1" fillId="6" borderId="133" xfId="0" applyFont="1" applyFill="1" applyBorder="1" applyAlignment="1">
      <alignment horizontal="left" vertical="top" wrapText="1"/>
    </xf>
    <xf numFmtId="0" fontId="1" fillId="6" borderId="24" xfId="0" applyFont="1" applyFill="1" applyBorder="1" applyAlignment="1">
      <alignment horizontal="center" vertical="top" wrapText="1"/>
    </xf>
    <xf numFmtId="0" fontId="1" fillId="6" borderId="20" xfId="0" applyFont="1" applyFill="1" applyBorder="1" applyAlignment="1">
      <alignment vertical="top" wrapText="1"/>
    </xf>
    <xf numFmtId="0" fontId="1" fillId="6" borderId="12" xfId="0" applyFont="1" applyFill="1" applyBorder="1" applyAlignment="1">
      <alignment horizontal="center" vertical="top" wrapText="1"/>
    </xf>
    <xf numFmtId="0" fontId="1" fillId="6" borderId="134" xfId="0" applyFont="1" applyFill="1" applyBorder="1" applyAlignment="1">
      <alignment horizontal="left" vertical="top" wrapText="1"/>
    </xf>
    <xf numFmtId="0" fontId="1" fillId="6" borderId="44" xfId="0" applyFont="1" applyFill="1" applyBorder="1" applyAlignment="1">
      <alignment horizontal="center" vertical="top" wrapText="1"/>
    </xf>
    <xf numFmtId="0" fontId="1" fillId="6" borderId="63" xfId="0" applyFont="1" applyFill="1" applyBorder="1" applyAlignment="1">
      <alignment vertical="top" wrapText="1"/>
    </xf>
    <xf numFmtId="0" fontId="1" fillId="6" borderId="61" xfId="0" applyFont="1" applyFill="1" applyBorder="1" applyAlignment="1">
      <alignment horizontal="left" vertical="top" wrapText="1"/>
    </xf>
    <xf numFmtId="0" fontId="1" fillId="6" borderId="49" xfId="0" applyFont="1" applyFill="1" applyBorder="1" applyAlignment="1">
      <alignment horizontal="center" vertical="top" wrapText="1"/>
    </xf>
    <xf numFmtId="0" fontId="1" fillId="6" borderId="105" xfId="0" applyFont="1" applyFill="1" applyBorder="1" applyAlignment="1">
      <alignment horizontal="left" vertical="top" wrapText="1"/>
    </xf>
    <xf numFmtId="164" fontId="1" fillId="6" borderId="98" xfId="0" applyNumberFormat="1" applyFont="1" applyFill="1" applyBorder="1" applyAlignment="1">
      <alignment horizontal="center" vertical="center"/>
    </xf>
    <xf numFmtId="164" fontId="1" fillId="6" borderId="109" xfId="0" applyNumberFormat="1" applyFont="1" applyFill="1" applyBorder="1" applyAlignment="1">
      <alignment horizontal="center" vertical="center"/>
    </xf>
    <xf numFmtId="0" fontId="1" fillId="6" borderId="41" xfId="0" applyFont="1" applyFill="1" applyBorder="1" applyAlignment="1">
      <alignment horizontal="center" vertical="top" wrapText="1"/>
    </xf>
    <xf numFmtId="164" fontId="1" fillId="6" borderId="108" xfId="0" applyNumberFormat="1" applyFont="1" applyFill="1" applyBorder="1" applyAlignment="1">
      <alignment horizontal="center" vertical="center"/>
    </xf>
    <xf numFmtId="0" fontId="1" fillId="6" borderId="56" xfId="0" applyFont="1" applyFill="1" applyBorder="1" applyAlignment="1">
      <alignment horizontal="center" vertical="top" wrapText="1"/>
    </xf>
    <xf numFmtId="0" fontId="1" fillId="6" borderId="53" xfId="0" applyFont="1" applyFill="1" applyBorder="1" applyAlignment="1">
      <alignment horizontal="center" vertical="top" wrapText="1"/>
    </xf>
    <xf numFmtId="0" fontId="1" fillId="6" borderId="40" xfId="0" applyFont="1" applyFill="1" applyBorder="1" applyAlignment="1">
      <alignment horizontal="center" vertical="top" wrapText="1"/>
    </xf>
    <xf numFmtId="0" fontId="1" fillId="6" borderId="61" xfId="0" applyFont="1" applyFill="1" applyBorder="1" applyAlignment="1">
      <alignment horizontal="left" vertical="top"/>
    </xf>
    <xf numFmtId="0" fontId="1" fillId="6" borderId="43" xfId="0" applyFont="1" applyFill="1" applyBorder="1" applyAlignment="1">
      <alignment horizontal="center" vertical="top" wrapText="1"/>
    </xf>
    <xf numFmtId="0" fontId="1" fillId="6" borderId="49" xfId="0" applyFont="1" applyFill="1" applyBorder="1" applyAlignment="1">
      <alignment horizontal="center" vertical="center"/>
    </xf>
    <xf numFmtId="0" fontId="1" fillId="6" borderId="105" xfId="0" applyFont="1" applyFill="1" applyBorder="1" applyAlignment="1">
      <alignment vertical="top" wrapText="1"/>
    </xf>
    <xf numFmtId="164" fontId="1" fillId="6" borderId="101" xfId="0" applyNumberFormat="1" applyFont="1" applyFill="1" applyBorder="1" applyAlignment="1">
      <alignment horizontal="center" vertical="center"/>
    </xf>
    <xf numFmtId="0" fontId="1" fillId="6" borderId="77" xfId="0" applyFont="1" applyFill="1" applyBorder="1" applyAlignment="1">
      <alignment horizontal="center" vertical="top" wrapText="1"/>
    </xf>
    <xf numFmtId="0" fontId="1" fillId="6" borderId="0" xfId="0" applyFont="1" applyFill="1" applyAlignment="1">
      <alignment vertical="top" wrapText="1"/>
    </xf>
    <xf numFmtId="0" fontId="1" fillId="6" borderId="140" xfId="0" applyFont="1" applyFill="1" applyBorder="1" applyAlignment="1">
      <alignment horizontal="left" vertical="top" wrapText="1"/>
    </xf>
    <xf numFmtId="0" fontId="1" fillId="6" borderId="141" xfId="0" applyFont="1" applyFill="1" applyBorder="1" applyAlignment="1">
      <alignment horizontal="center" vertical="center" wrapText="1"/>
    </xf>
    <xf numFmtId="9" fontId="1" fillId="0" borderId="148" xfId="0" applyNumberFormat="1" applyFont="1" applyBorder="1" applyAlignment="1">
      <alignment horizontal="center" vertical="center"/>
    </xf>
    <xf numFmtId="9" fontId="1" fillId="0" borderId="149" xfId="0" applyNumberFormat="1" applyFont="1" applyBorder="1" applyAlignment="1">
      <alignment horizontal="center" vertical="center"/>
    </xf>
    <xf numFmtId="9" fontId="1" fillId="0" borderId="154" xfId="0" applyNumberFormat="1" applyFont="1" applyBorder="1" applyAlignment="1">
      <alignment horizontal="center" vertical="center"/>
    </xf>
    <xf numFmtId="9" fontId="1" fillId="0" borderId="137" xfId="0" applyNumberFormat="1" applyFont="1" applyBorder="1" applyAlignment="1">
      <alignment horizontal="center" vertical="center"/>
    </xf>
    <xf numFmtId="9" fontId="1" fillId="0" borderId="115" xfId="0" applyNumberFormat="1" applyFont="1" applyBorder="1" applyAlignment="1">
      <alignment horizontal="center" vertical="center"/>
    </xf>
    <xf numFmtId="9" fontId="1" fillId="0" borderId="118" xfId="0" applyNumberFormat="1" applyFont="1" applyBorder="1" applyAlignment="1">
      <alignment horizontal="center" vertical="center"/>
    </xf>
    <xf numFmtId="9" fontId="1" fillId="0" borderId="114" xfId="0" applyNumberFormat="1" applyFont="1" applyBorder="1" applyAlignment="1">
      <alignment horizontal="center" vertical="center"/>
    </xf>
    <xf numFmtId="9" fontId="1" fillId="0" borderId="113" xfId="0" applyNumberFormat="1" applyFont="1" applyBorder="1" applyAlignment="1">
      <alignment horizontal="center" vertical="center"/>
    </xf>
    <xf numFmtId="0" fontId="1" fillId="0" borderId="137" xfId="0" applyFont="1" applyBorder="1" applyAlignment="1">
      <alignment horizontal="center"/>
    </xf>
    <xf numFmtId="0" fontId="1" fillId="0" borderId="115" xfId="0" applyFont="1" applyBorder="1" applyAlignment="1">
      <alignment horizontal="center"/>
    </xf>
    <xf numFmtId="0" fontId="1" fillId="0" borderId="118" xfId="0" applyFont="1" applyBorder="1" applyAlignment="1">
      <alignment horizontal="center"/>
    </xf>
    <xf numFmtId="0" fontId="1" fillId="2" borderId="42" xfId="0" applyFont="1" applyFill="1" applyBorder="1" applyAlignment="1">
      <alignment horizontal="center" vertical="top" wrapText="1"/>
    </xf>
    <xf numFmtId="0" fontId="1" fillId="2" borderId="44" xfId="0" applyFont="1" applyFill="1" applyBorder="1" applyAlignment="1">
      <alignment horizontal="center" vertical="top" wrapText="1"/>
    </xf>
    <xf numFmtId="0" fontId="1" fillId="2" borderId="51" xfId="0" applyFont="1" applyFill="1" applyBorder="1" applyAlignment="1">
      <alignment horizontal="center" vertical="top" wrapText="1"/>
    </xf>
    <xf numFmtId="0" fontId="2" fillId="2" borderId="45" xfId="0" applyFont="1" applyFill="1" applyBorder="1" applyAlignment="1">
      <alignment horizontal="center" vertical="top" wrapText="1"/>
    </xf>
    <xf numFmtId="0" fontId="2" fillId="2" borderId="48" xfId="0" applyFont="1" applyFill="1" applyBorder="1" applyAlignment="1">
      <alignment horizontal="center" vertical="top" wrapText="1"/>
    </xf>
    <xf numFmtId="0" fontId="2" fillId="2" borderId="50" xfId="0" applyFont="1" applyFill="1" applyBorder="1" applyAlignment="1">
      <alignment horizontal="center" vertical="top" wrapText="1"/>
    </xf>
    <xf numFmtId="0" fontId="1" fillId="0" borderId="55" xfId="0" applyFont="1" applyBorder="1" applyAlignment="1">
      <alignment horizontal="center" vertical="top" wrapText="1"/>
    </xf>
    <xf numFmtId="0" fontId="1" fillId="0" borderId="0" xfId="0" applyFont="1" applyAlignment="1">
      <alignment horizontal="center" vertical="top" wrapText="1"/>
    </xf>
    <xf numFmtId="0" fontId="1" fillId="0" borderId="70" xfId="0" applyFont="1" applyBorder="1" applyAlignment="1">
      <alignment horizontal="center" vertical="top" wrapText="1"/>
    </xf>
    <xf numFmtId="0" fontId="2" fillId="2" borderId="13" xfId="0" applyFont="1" applyFill="1" applyBorder="1" applyAlignment="1">
      <alignment horizontal="center"/>
    </xf>
    <xf numFmtId="0" fontId="2" fillId="2" borderId="14" xfId="0" applyFont="1" applyFill="1" applyBorder="1" applyAlignment="1">
      <alignment horizontal="center"/>
    </xf>
    <xf numFmtId="0" fontId="1" fillId="2" borderId="41" xfId="0" applyFont="1" applyFill="1" applyBorder="1" applyAlignment="1">
      <alignment horizontal="center" vertical="top" wrapText="1"/>
    </xf>
    <xf numFmtId="0" fontId="1" fillId="2" borderId="43" xfId="0" applyFont="1" applyFill="1" applyBorder="1" applyAlignment="1">
      <alignment horizontal="center" vertical="top" wrapText="1"/>
    </xf>
    <xf numFmtId="0" fontId="1" fillId="2" borderId="72" xfId="0" applyFont="1" applyFill="1" applyBorder="1" applyAlignment="1">
      <alignment horizontal="center" vertical="top" wrapText="1"/>
    </xf>
    <xf numFmtId="0" fontId="1" fillId="2" borderId="73" xfId="0" applyFont="1" applyFill="1" applyBorder="1" applyAlignment="1">
      <alignment horizontal="center" vertical="top" wrapText="1"/>
    </xf>
    <xf numFmtId="0" fontId="1" fillId="2" borderId="40" xfId="0" applyFont="1" applyFill="1" applyBorder="1" applyAlignment="1">
      <alignment horizontal="center" vertical="top" wrapText="1"/>
    </xf>
    <xf numFmtId="0" fontId="2" fillId="2" borderId="25" xfId="0" applyFont="1" applyFill="1" applyBorder="1" applyAlignment="1">
      <alignment horizontal="left" vertical="top" wrapText="1"/>
    </xf>
    <xf numFmtId="0" fontId="2" fillId="2" borderId="30" xfId="0" applyFont="1" applyFill="1" applyBorder="1" applyAlignment="1">
      <alignment horizontal="left" vertical="top" wrapText="1"/>
    </xf>
    <xf numFmtId="0" fontId="2" fillId="2" borderId="36" xfId="0" applyFont="1" applyFill="1" applyBorder="1" applyAlignment="1">
      <alignment horizontal="left" vertical="top" wrapText="1"/>
    </xf>
    <xf numFmtId="0" fontId="3" fillId="2" borderId="42" xfId="0" applyFont="1" applyFill="1" applyBorder="1" applyAlignment="1">
      <alignment horizontal="center" vertical="top" wrapText="1"/>
    </xf>
    <xf numFmtId="0" fontId="3" fillId="2" borderId="44" xfId="0" applyFont="1" applyFill="1" applyBorder="1" applyAlignment="1">
      <alignment horizontal="center" vertical="top" wrapText="1"/>
    </xf>
    <xf numFmtId="0" fontId="3" fillId="2" borderId="51" xfId="0" applyFont="1" applyFill="1" applyBorder="1" applyAlignment="1">
      <alignment horizontal="center" vertical="top" wrapText="1"/>
    </xf>
    <xf numFmtId="0" fontId="3" fillId="2" borderId="42"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51" xfId="0" applyFont="1" applyFill="1" applyBorder="1" applyAlignment="1">
      <alignment horizontal="left" vertical="top" wrapText="1"/>
    </xf>
    <xf numFmtId="0" fontId="2" fillId="2" borderId="45" xfId="0" applyFont="1" applyFill="1" applyBorder="1" applyAlignment="1">
      <alignment horizontal="left" vertical="top" wrapText="1"/>
    </xf>
    <xf numFmtId="0" fontId="2" fillId="2" borderId="48" xfId="0" applyFont="1" applyFill="1" applyBorder="1" applyAlignment="1">
      <alignment horizontal="left" vertical="top" wrapText="1"/>
    </xf>
    <xf numFmtId="0" fontId="2" fillId="2" borderId="50" xfId="0" applyFont="1" applyFill="1" applyBorder="1" applyAlignment="1">
      <alignment horizontal="left" vertical="top" wrapText="1"/>
    </xf>
    <xf numFmtId="0" fontId="1" fillId="2" borderId="2"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18" xfId="0" applyFont="1" applyFill="1" applyBorder="1" applyAlignment="1">
      <alignment horizontal="center" vertical="top" wrapText="1"/>
    </xf>
    <xf numFmtId="0" fontId="1" fillId="2" borderId="17" xfId="0" applyFont="1" applyFill="1" applyBorder="1" applyAlignment="1">
      <alignment horizontal="center" vertical="top" wrapText="1"/>
    </xf>
    <xf numFmtId="0" fontId="1" fillId="2" borderId="37" xfId="0" applyFont="1" applyFill="1" applyBorder="1" applyAlignment="1">
      <alignment horizontal="center" vertical="top" wrapText="1"/>
    </xf>
    <xf numFmtId="0" fontId="3" fillId="2" borderId="26"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37" xfId="0" applyFont="1" applyFill="1" applyBorder="1" applyAlignment="1">
      <alignment horizontal="center" vertical="top" wrapText="1"/>
    </xf>
    <xf numFmtId="0" fontId="3" fillId="2" borderId="26"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37" xfId="0" applyFont="1" applyFill="1" applyBorder="1" applyAlignment="1">
      <alignment horizontal="left" vertical="top" wrapText="1"/>
    </xf>
    <xf numFmtId="0" fontId="1" fillId="2" borderId="3" xfId="0" applyFont="1" applyFill="1" applyBorder="1" applyAlignment="1">
      <alignment horizontal="center" vertical="top" wrapText="1"/>
    </xf>
    <xf numFmtId="0" fontId="1" fillId="2" borderId="26" xfId="0" applyFont="1" applyFill="1" applyBorder="1" applyAlignment="1">
      <alignment horizontal="center" vertical="top" wrapText="1"/>
    </xf>
    <xf numFmtId="0" fontId="2" fillId="2" borderId="119" xfId="0" applyFont="1" applyFill="1" applyBorder="1" applyAlignment="1">
      <alignment horizontal="right" vertical="top" wrapText="1"/>
    </xf>
    <xf numFmtId="0" fontId="2" fillId="2" borderId="120" xfId="0" applyFont="1" applyFill="1" applyBorder="1" applyAlignment="1">
      <alignment horizontal="right" vertical="top" wrapText="1"/>
    </xf>
    <xf numFmtId="0" fontId="1" fillId="2" borderId="0" xfId="0" applyFont="1" applyFill="1" applyAlignment="1">
      <alignment horizontal="center" vertical="top" wrapText="1"/>
    </xf>
    <xf numFmtId="0" fontId="1" fillId="2" borderId="56" xfId="0" applyFont="1" applyFill="1" applyBorder="1" applyAlignment="1">
      <alignment horizontal="center" vertical="top" wrapText="1"/>
    </xf>
    <xf numFmtId="0" fontId="1" fillId="2" borderId="41" xfId="0" applyFont="1" applyFill="1" applyBorder="1" applyAlignment="1">
      <alignment horizontal="left" vertical="top" wrapText="1"/>
    </xf>
    <xf numFmtId="0" fontId="1" fillId="2" borderId="40" xfId="0" applyFont="1" applyFill="1" applyBorder="1" applyAlignment="1">
      <alignment horizontal="left" vertical="top" wrapText="1"/>
    </xf>
    <xf numFmtId="0" fontId="1" fillId="2" borderId="43" xfId="0" applyFont="1" applyFill="1" applyBorder="1" applyAlignment="1">
      <alignment horizontal="left" vertical="top" wrapText="1"/>
    </xf>
    <xf numFmtId="0" fontId="2" fillId="2" borderId="76" xfId="0" applyFont="1" applyFill="1" applyBorder="1" applyAlignment="1">
      <alignment horizontal="left" vertical="top" wrapText="1"/>
    </xf>
    <xf numFmtId="0" fontId="2" fillId="2" borderId="61" xfId="0" applyFont="1" applyFill="1" applyBorder="1" applyAlignment="1">
      <alignment horizontal="left" vertical="top" wrapText="1"/>
    </xf>
    <xf numFmtId="0" fontId="2" fillId="2" borderId="69" xfId="0" applyFont="1" applyFill="1" applyBorder="1" applyAlignment="1">
      <alignment horizontal="left" vertical="top" wrapText="1"/>
    </xf>
    <xf numFmtId="0" fontId="1" fillId="2" borderId="58" xfId="0" applyFont="1" applyFill="1" applyBorder="1" applyAlignment="1">
      <alignment horizontal="center" vertical="top" wrapText="1"/>
    </xf>
    <xf numFmtId="0" fontId="1" fillId="2" borderId="53" xfId="0" applyFont="1" applyFill="1" applyBorder="1" applyAlignment="1">
      <alignment horizontal="center" vertical="top" wrapText="1"/>
    </xf>
    <xf numFmtId="0" fontId="1" fillId="2" borderId="59" xfId="0" applyFont="1" applyFill="1" applyBorder="1" applyAlignment="1">
      <alignment horizontal="center" vertical="top" wrapText="1"/>
    </xf>
    <xf numFmtId="0" fontId="2" fillId="2" borderId="93" xfId="0" applyFont="1" applyFill="1" applyBorder="1" applyAlignment="1">
      <alignment horizontal="center" vertical="center" wrapText="1"/>
    </xf>
    <xf numFmtId="0" fontId="2" fillId="2" borderId="94" xfId="0" applyFont="1" applyFill="1" applyBorder="1" applyAlignment="1">
      <alignment horizontal="center" vertical="center" wrapText="1"/>
    </xf>
    <xf numFmtId="164" fontId="1" fillId="2" borderId="158" xfId="1" applyNumberFormat="1" applyFont="1" applyFill="1" applyBorder="1" applyAlignment="1">
      <alignment horizontal="center" vertical="center"/>
    </xf>
    <xf numFmtId="164" fontId="1" fillId="2" borderId="112" xfId="1" applyNumberFormat="1" applyFont="1" applyFill="1" applyBorder="1" applyAlignment="1">
      <alignment horizontal="center" vertical="center"/>
    </xf>
    <xf numFmtId="164" fontId="2" fillId="2" borderId="159" xfId="1" applyNumberFormat="1" applyFont="1" applyFill="1" applyBorder="1" applyAlignment="1">
      <alignment horizontal="center" vertical="center"/>
    </xf>
    <xf numFmtId="164" fontId="2" fillId="2" borderId="160" xfId="1" applyNumberFormat="1" applyFont="1" applyFill="1" applyBorder="1" applyAlignment="1">
      <alignment horizontal="center" vertical="center"/>
    </xf>
    <xf numFmtId="164" fontId="1" fillId="2" borderId="157" xfId="0" applyNumberFormat="1" applyFont="1" applyFill="1" applyBorder="1" applyAlignment="1">
      <alignment horizontal="center" vertical="center"/>
    </xf>
    <xf numFmtId="164" fontId="1" fillId="2" borderId="108" xfId="0" applyNumberFormat="1" applyFont="1" applyFill="1" applyBorder="1" applyAlignment="1">
      <alignment horizontal="center" vertical="center"/>
    </xf>
    <xf numFmtId="164" fontId="1" fillId="2" borderId="107" xfId="0" applyNumberFormat="1" applyFont="1" applyFill="1" applyBorder="1" applyAlignment="1">
      <alignment horizontal="center" vertical="center"/>
    </xf>
    <xf numFmtId="164" fontId="1" fillId="2" borderId="109" xfId="0" applyNumberFormat="1" applyFont="1" applyFill="1" applyBorder="1" applyAlignment="1">
      <alignment horizontal="center" vertical="center"/>
    </xf>
    <xf numFmtId="164" fontId="1" fillId="2" borderId="162" xfId="0" applyNumberFormat="1" applyFont="1" applyFill="1" applyBorder="1" applyAlignment="1">
      <alignment horizontal="center" vertical="center"/>
    </xf>
    <xf numFmtId="164" fontId="1" fillId="2" borderId="145" xfId="0" applyNumberFormat="1" applyFont="1" applyFill="1" applyBorder="1" applyAlignment="1">
      <alignment horizontal="center" vertical="center"/>
    </xf>
    <xf numFmtId="164" fontId="1" fillId="2" borderId="101" xfId="0" applyNumberFormat="1" applyFont="1" applyFill="1" applyBorder="1" applyAlignment="1">
      <alignment horizontal="center" vertical="center"/>
    </xf>
    <xf numFmtId="164" fontId="1" fillId="2" borderId="151" xfId="0" applyNumberFormat="1" applyFont="1" applyFill="1" applyBorder="1" applyAlignment="1">
      <alignment horizontal="center" vertical="center"/>
    </xf>
    <xf numFmtId="164" fontId="1" fillId="2" borderId="111" xfId="0" applyNumberFormat="1" applyFont="1" applyFill="1" applyBorder="1" applyAlignment="1">
      <alignment horizontal="center" vertical="center"/>
    </xf>
    <xf numFmtId="164" fontId="1" fillId="2" borderId="100" xfId="0" applyNumberFormat="1" applyFont="1" applyFill="1" applyBorder="1" applyAlignment="1">
      <alignment horizontal="center" vertical="center"/>
    </xf>
    <xf numFmtId="164" fontId="1" fillId="2" borderId="146" xfId="0" applyNumberFormat="1" applyFont="1" applyFill="1" applyBorder="1" applyAlignment="1">
      <alignment horizontal="center" vertical="center"/>
    </xf>
    <xf numFmtId="164" fontId="1" fillId="2" borderId="143" xfId="0" applyNumberFormat="1" applyFont="1" applyFill="1" applyBorder="1" applyAlignment="1">
      <alignment horizontal="center" vertical="center"/>
    </xf>
    <xf numFmtId="164" fontId="1" fillId="2" borderId="152" xfId="0" applyNumberFormat="1" applyFont="1" applyFill="1" applyBorder="1" applyAlignment="1">
      <alignment horizontal="center" vertical="center"/>
    </xf>
    <xf numFmtId="0" fontId="2" fillId="0" borderId="112" xfId="0" applyFont="1" applyBorder="1" applyAlignment="1">
      <alignment horizontal="center"/>
    </xf>
    <xf numFmtId="164" fontId="1" fillId="4" borderId="137" xfId="1" applyNumberFormat="1" applyFont="1" applyFill="1" applyBorder="1" applyAlignment="1">
      <alignment horizontal="center" vertical="center"/>
    </xf>
    <xf numFmtId="164" fontId="1" fillId="4" borderId="114" xfId="1" applyNumberFormat="1" applyFont="1" applyFill="1" applyBorder="1" applyAlignment="1">
      <alignment horizontal="center" vertical="center"/>
    </xf>
    <xf numFmtId="164" fontId="1" fillId="4" borderId="113" xfId="1" applyNumberFormat="1" applyFont="1" applyFill="1" applyBorder="1" applyAlignment="1">
      <alignment horizontal="center" vertical="center"/>
    </xf>
    <xf numFmtId="164" fontId="1" fillId="4" borderId="115" xfId="1" applyNumberFormat="1" applyFont="1" applyFill="1" applyBorder="1" applyAlignment="1">
      <alignment horizontal="center" vertical="center"/>
    </xf>
    <xf numFmtId="9" fontId="2" fillId="4" borderId="113" xfId="1" applyFont="1" applyFill="1" applyBorder="1" applyAlignment="1">
      <alignment horizontal="center" vertical="center"/>
    </xf>
    <xf numFmtId="9" fontId="2" fillId="4" borderId="115" xfId="1" applyFont="1" applyFill="1" applyBorder="1" applyAlignment="1">
      <alignment horizontal="center" vertical="center"/>
    </xf>
    <xf numFmtId="9" fontId="2" fillId="4" borderId="114" xfId="1" applyFont="1" applyFill="1" applyBorder="1" applyAlignment="1">
      <alignment horizontal="center" vertical="center"/>
    </xf>
    <xf numFmtId="164" fontId="2" fillId="4" borderId="137" xfId="1" applyNumberFormat="1" applyFont="1" applyFill="1" applyBorder="1" applyAlignment="1">
      <alignment horizontal="center" vertical="center"/>
    </xf>
    <xf numFmtId="164" fontId="2" fillId="4" borderId="115" xfId="1" applyNumberFormat="1" applyFont="1" applyFill="1" applyBorder="1" applyAlignment="1">
      <alignment horizontal="center" vertical="center"/>
    </xf>
    <xf numFmtId="164" fontId="2" fillId="4" borderId="118" xfId="1" applyNumberFormat="1" applyFont="1" applyFill="1" applyBorder="1" applyAlignment="1">
      <alignment horizontal="center" vertical="center"/>
    </xf>
    <xf numFmtId="164" fontId="6" fillId="2" borderId="163" xfId="0" applyNumberFormat="1" applyFont="1" applyFill="1" applyBorder="1" applyAlignment="1">
      <alignment horizontal="center" vertical="center" wrapText="1"/>
    </xf>
    <xf numFmtId="164" fontId="4" fillId="2" borderId="164" xfId="1" applyNumberFormat="1" applyFont="1" applyFill="1" applyBorder="1" applyAlignment="1">
      <alignment horizontal="center" vertical="center"/>
    </xf>
    <xf numFmtId="164" fontId="6" fillId="2" borderId="165" xfId="0" applyNumberFormat="1" applyFont="1" applyFill="1" applyBorder="1" applyAlignment="1">
      <alignment horizontal="center" vertical="center" wrapText="1"/>
    </xf>
    <xf numFmtId="164" fontId="4" fillId="2" borderId="93" xfId="1" applyNumberFormat="1" applyFont="1" applyFill="1" applyBorder="1" applyAlignment="1">
      <alignment horizontal="center" vertical="center" wrapText="1"/>
    </xf>
    <xf numFmtId="164" fontId="4" fillId="2" borderId="99" xfId="1" applyNumberFormat="1" applyFont="1" applyFill="1" applyBorder="1" applyAlignment="1">
      <alignment horizontal="center" vertical="center"/>
    </xf>
    <xf numFmtId="164" fontId="6" fillId="2" borderId="102" xfId="0" applyNumberFormat="1" applyFont="1" applyFill="1" applyBorder="1" applyAlignment="1">
      <alignment horizontal="center" vertical="center" wrapText="1"/>
    </xf>
    <xf numFmtId="164" fontId="4" fillId="6" borderId="94" xfId="1" applyNumberFormat="1" applyFont="1" applyFill="1" applyBorder="1" applyAlignment="1">
      <alignment horizontal="center" vertical="center" wrapText="1"/>
    </xf>
    <xf numFmtId="164" fontId="4" fillId="6" borderId="131" xfId="1" applyNumberFormat="1" applyFont="1" applyFill="1" applyBorder="1" applyAlignment="1">
      <alignment horizontal="center" vertical="center"/>
    </xf>
    <xf numFmtId="164" fontId="4" fillId="2" borderId="94" xfId="1" applyNumberFormat="1" applyFont="1" applyFill="1" applyBorder="1" applyAlignment="1">
      <alignment horizontal="center" vertical="center" wrapText="1"/>
    </xf>
    <xf numFmtId="164" fontId="4" fillId="2" borderId="102" xfId="1" applyNumberFormat="1" applyFont="1" applyFill="1" applyBorder="1" applyAlignment="1">
      <alignment horizontal="center" vertical="center"/>
    </xf>
    <xf numFmtId="164" fontId="4" fillId="2" borderId="103" xfId="1" applyNumberFormat="1" applyFont="1" applyFill="1" applyBorder="1" applyAlignment="1">
      <alignment horizontal="center" vertical="center"/>
    </xf>
    <xf numFmtId="164" fontId="6" fillId="2" borderId="93" xfId="0" applyNumberFormat="1" applyFont="1" applyFill="1" applyBorder="1" applyAlignment="1">
      <alignment horizontal="center" vertical="center" wrapText="1"/>
    </xf>
    <xf numFmtId="164" fontId="4" fillId="2" borderId="97" xfId="1" applyNumberFormat="1" applyFont="1" applyFill="1" applyBorder="1" applyAlignment="1">
      <alignment horizontal="center" vertical="center"/>
    </xf>
    <xf numFmtId="164" fontId="6" fillId="6" borderId="94" xfId="0" applyNumberFormat="1" applyFont="1" applyFill="1" applyBorder="1" applyAlignment="1">
      <alignment horizontal="center" vertical="center" wrapText="1"/>
    </xf>
    <xf numFmtId="164" fontId="4" fillId="6" borderId="0" xfId="1" applyNumberFormat="1" applyFont="1" applyFill="1" applyBorder="1" applyAlignment="1">
      <alignment horizontal="center" vertical="center"/>
    </xf>
    <xf numFmtId="164" fontId="4" fillId="2" borderId="102" xfId="1" applyNumberFormat="1" applyFont="1" applyFill="1" applyBorder="1" applyAlignment="1">
      <alignment horizontal="center" vertical="center"/>
    </xf>
    <xf numFmtId="164" fontId="4" fillId="6" borderId="102" xfId="1" applyNumberFormat="1" applyFont="1" applyFill="1" applyBorder="1" applyAlignment="1">
      <alignment horizontal="center" vertical="center"/>
    </xf>
    <xf numFmtId="164" fontId="6" fillId="2" borderId="94" xfId="1" applyNumberFormat="1" applyFont="1" applyFill="1" applyBorder="1" applyAlignment="1">
      <alignment horizontal="center" vertical="center" wrapText="1"/>
    </xf>
    <xf numFmtId="164" fontId="4" fillId="6" borderId="132" xfId="1" applyNumberFormat="1" applyFont="1" applyFill="1" applyBorder="1" applyAlignment="1">
      <alignment horizontal="center" vertical="center"/>
    </xf>
    <xf numFmtId="164" fontId="6" fillId="2" borderId="95" xfId="0" applyNumberFormat="1" applyFont="1" applyFill="1" applyBorder="1" applyAlignment="1">
      <alignment horizontal="center" vertical="center" wrapText="1"/>
    </xf>
    <xf numFmtId="164" fontId="6" fillId="6" borderId="0" xfId="0" applyNumberFormat="1" applyFont="1" applyFill="1" applyAlignment="1">
      <alignment horizontal="center" vertical="center" wrapText="1"/>
    </xf>
    <xf numFmtId="164" fontId="4" fillId="2" borderId="124" xfId="0" applyNumberFormat="1" applyFont="1" applyFill="1" applyBorder="1" applyAlignment="1">
      <alignment horizontal="center" vertical="center" wrapText="1"/>
    </xf>
    <xf numFmtId="164" fontId="4" fillId="6" borderId="124" xfId="0" applyNumberFormat="1" applyFont="1" applyFill="1" applyBorder="1" applyAlignment="1">
      <alignment horizontal="center" vertical="center" wrapText="1"/>
    </xf>
    <xf numFmtId="164" fontId="4" fillId="2" borderId="102" xfId="0" applyNumberFormat="1" applyFont="1" applyFill="1" applyBorder="1" applyAlignment="1">
      <alignment horizontal="center" vertical="center"/>
    </xf>
    <xf numFmtId="164" fontId="4" fillId="2" borderId="126" xfId="0" applyNumberFormat="1" applyFont="1" applyFill="1" applyBorder="1" applyAlignment="1">
      <alignment horizontal="center" vertical="center" wrapText="1"/>
    </xf>
    <xf numFmtId="164" fontId="4" fillId="2" borderId="116" xfId="0" applyNumberFormat="1" applyFont="1" applyFill="1" applyBorder="1" applyAlignment="1">
      <alignment horizontal="center" vertical="center"/>
    </xf>
    <xf numFmtId="164" fontId="6" fillId="2" borderId="116" xfId="0" applyNumberFormat="1" applyFont="1" applyFill="1" applyBorder="1" applyAlignment="1">
      <alignment horizontal="center" vertical="center" wrapText="1"/>
    </xf>
    <xf numFmtId="9" fontId="1" fillId="0" borderId="113" xfId="1" applyFont="1" applyBorder="1" applyAlignment="1">
      <alignment horizontal="center" vertical="center"/>
    </xf>
    <xf numFmtId="9" fontId="1" fillId="0" borderId="115" xfId="1" applyFont="1" applyBorder="1" applyAlignment="1">
      <alignment horizontal="center" vertical="center"/>
    </xf>
    <xf numFmtId="9" fontId="1" fillId="0" borderId="114" xfId="1" applyFont="1" applyBorder="1" applyAlignment="1">
      <alignment horizontal="center" vertical="center"/>
    </xf>
    <xf numFmtId="9" fontId="1" fillId="0" borderId="112" xfId="1" applyFont="1" applyBorder="1" applyAlignment="1">
      <alignment horizontal="center" vertical="center"/>
    </xf>
    <xf numFmtId="9" fontId="1" fillId="0" borderId="118" xfId="1" applyFont="1" applyBorder="1" applyAlignment="1">
      <alignment horizontal="center" vertical="center"/>
    </xf>
    <xf numFmtId="0" fontId="1" fillId="0" borderId="166" xfId="0" applyFont="1" applyBorder="1"/>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164" fontId="1" fillId="2" borderId="1" xfId="0" applyNumberFormat="1" applyFont="1" applyFill="1" applyBorder="1" applyAlignment="1">
      <alignment horizontal="center" vertical="center"/>
    </xf>
    <xf numFmtId="9" fontId="1" fillId="0" borderId="1" xfId="0" applyNumberFormat="1" applyFont="1" applyBorder="1" applyAlignment="1">
      <alignment horizontal="center" vertical="center"/>
    </xf>
    <xf numFmtId="0" fontId="1" fillId="0" borderId="1" xfId="0" applyFont="1" applyBorder="1" applyAlignment="1">
      <alignment horizontal="center"/>
    </xf>
    <xf numFmtId="0" fontId="1" fillId="6" borderId="1" xfId="0" applyFont="1" applyFill="1" applyBorder="1" applyAlignment="1">
      <alignment horizontal="center" vertical="top" wrapText="1"/>
    </xf>
    <xf numFmtId="0" fontId="1" fillId="6" borderId="1" xfId="0" applyFont="1" applyFill="1" applyBorder="1" applyAlignment="1">
      <alignment vertical="top" wrapText="1"/>
    </xf>
    <xf numFmtId="0" fontId="1" fillId="6" borderId="1" xfId="0" applyFont="1" applyFill="1" applyBorder="1" applyAlignment="1">
      <alignment horizontal="left" vertical="top" wrapText="1"/>
    </xf>
    <xf numFmtId="164" fontId="1" fillId="6" borderId="1" xfId="0" applyNumberFormat="1" applyFont="1" applyFill="1" applyBorder="1" applyAlignment="1">
      <alignment horizontal="center" vertical="center"/>
    </xf>
    <xf numFmtId="9" fontId="1" fillId="0" borderId="167" xfId="0" applyNumberFormat="1" applyFont="1" applyBorder="1" applyAlignment="1">
      <alignment horizontal="center" vertical="center"/>
    </xf>
    <xf numFmtId="164" fontId="1" fillId="2" borderId="168" xfId="0" applyNumberFormat="1" applyFont="1" applyFill="1" applyBorder="1" applyAlignment="1">
      <alignment horizontal="center" vertical="center"/>
    </xf>
    <xf numFmtId="0" fontId="2" fillId="0" borderId="2" xfId="0" applyFont="1" applyBorder="1" applyAlignment="1">
      <alignment horizontal="center" vertical="top"/>
    </xf>
    <xf numFmtId="0" fontId="2" fillId="2" borderId="95" xfId="0" applyFont="1" applyFill="1" applyBorder="1" applyAlignment="1">
      <alignment horizontal="center" vertical="top" wrapText="1"/>
    </xf>
    <xf numFmtId="0" fontId="2" fillId="2" borderId="96" xfId="0" applyFont="1" applyFill="1" applyBorder="1" applyAlignment="1">
      <alignment horizontal="center" vertical="top" wrapText="1"/>
    </xf>
    <xf numFmtId="0" fontId="2" fillId="4" borderId="113" xfId="0" applyFont="1" applyFill="1" applyBorder="1" applyAlignment="1">
      <alignment horizontal="center" vertical="top" wrapText="1"/>
    </xf>
    <xf numFmtId="0" fontId="2" fillId="5" borderId="113" xfId="0" applyFont="1" applyFill="1" applyBorder="1" applyAlignment="1">
      <alignment horizontal="center" vertical="top" wrapText="1"/>
    </xf>
    <xf numFmtId="0" fontId="1" fillId="0" borderId="0" xfId="0" applyFont="1" applyAlignment="1">
      <alignment vertical="top"/>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1.png"/><Relationship Id="rId6" Type="http://schemas.openxmlformats.org/officeDocument/2006/relationships/customXml" Target="../ink/ink3.xml"/><Relationship Id="rId5" Type="http://schemas.openxmlformats.org/officeDocument/2006/relationships/image" Target="../media/image3.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736599</xdr:colOff>
      <xdr:row>4</xdr:row>
      <xdr:rowOff>50800</xdr:rowOff>
    </xdr:from>
    <xdr:to>
      <xdr:col>9</xdr:col>
      <xdr:colOff>467602</xdr:colOff>
      <xdr:row>44</xdr:row>
      <xdr:rowOff>114300</xdr:rowOff>
    </xdr:to>
    <xdr:pic>
      <xdr:nvPicPr>
        <xdr:cNvPr id="3" name="Picture 2">
          <a:extLst>
            <a:ext uri="{FF2B5EF4-FFF2-40B4-BE49-F238E27FC236}">
              <a16:creationId xmlns:a16="http://schemas.microsoft.com/office/drawing/2014/main" id="{67442AFD-E30A-FA2F-7F53-FBCC810654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6599" y="863600"/>
          <a:ext cx="12862803" cy="8191500"/>
        </a:xfrm>
        <a:prstGeom prst="rect">
          <a:avLst/>
        </a:prstGeom>
      </xdr:spPr>
    </xdr:pic>
    <xdr:clientData/>
  </xdr:twoCellAnchor>
  <xdr:twoCellAnchor editAs="oneCell">
    <xdr:from>
      <xdr:col>6</xdr:col>
      <xdr:colOff>1140640</xdr:colOff>
      <xdr:row>3</xdr:row>
      <xdr:rowOff>9960</xdr:rowOff>
    </xdr:from>
    <xdr:to>
      <xdr:col>6</xdr:col>
      <xdr:colOff>1141000</xdr:colOff>
      <xdr:row>3</xdr:row>
      <xdr:rowOff>10320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3F5DBF71-AAB3-BEE4-6BE1-807F82B73C25}"/>
                </a:ext>
              </a:extLst>
            </xdr14:cNvPr>
            <xdr14:cNvContentPartPr/>
          </xdr14:nvContentPartPr>
          <xdr14:nvPr macro=""/>
          <xdr14:xfrm>
            <a:off x="9624240" y="619560"/>
            <a:ext cx="360" cy="360"/>
          </xdr14:xfrm>
        </xdr:contentPart>
      </mc:Choice>
      <mc:Fallback xmlns="">
        <xdr:pic>
          <xdr:nvPicPr>
            <xdr:cNvPr id="4" name="Ink 3">
              <a:extLst>
                <a:ext uri="{FF2B5EF4-FFF2-40B4-BE49-F238E27FC236}">
                  <a16:creationId xmlns:a16="http://schemas.microsoft.com/office/drawing/2014/main" id="{3F5DBF71-AAB3-BEE4-6BE1-807F82B73C25}"/>
                </a:ext>
              </a:extLst>
            </xdr:cNvPr>
            <xdr:cNvPicPr/>
          </xdr:nvPicPr>
          <xdr:blipFill>
            <a:blip xmlns:r="http://schemas.openxmlformats.org/officeDocument/2006/relationships" r:embed="rId3"/>
            <a:stretch>
              <a:fillRect/>
            </a:stretch>
          </xdr:blipFill>
          <xdr:spPr>
            <a:xfrm>
              <a:off x="9619920" y="615240"/>
              <a:ext cx="9000" cy="9000"/>
            </a:xfrm>
            <a:prstGeom prst="rect">
              <a:avLst/>
            </a:prstGeom>
          </xdr:spPr>
        </xdr:pic>
      </mc:Fallback>
    </mc:AlternateContent>
    <xdr:clientData/>
  </xdr:twoCellAnchor>
  <xdr:twoCellAnchor editAs="oneCell">
    <xdr:from>
      <xdr:col>5</xdr:col>
      <xdr:colOff>292080</xdr:colOff>
      <xdr:row>3</xdr:row>
      <xdr:rowOff>6000</xdr:rowOff>
    </xdr:from>
    <xdr:to>
      <xdr:col>5</xdr:col>
      <xdr:colOff>292440</xdr:colOff>
      <xdr:row>3</xdr:row>
      <xdr:rowOff>6360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2" name="Ink 11">
              <a:extLst>
                <a:ext uri="{FF2B5EF4-FFF2-40B4-BE49-F238E27FC236}">
                  <a16:creationId xmlns:a16="http://schemas.microsoft.com/office/drawing/2014/main" id="{959C5C1F-E476-AA86-8B3C-8B13D58F137F}"/>
                </a:ext>
              </a:extLst>
            </xdr14:cNvPr>
            <xdr14:cNvContentPartPr/>
          </xdr14:nvContentPartPr>
          <xdr14:nvPr macro=""/>
          <xdr14:xfrm>
            <a:off x="7226280" y="615600"/>
            <a:ext cx="360" cy="360"/>
          </xdr14:xfrm>
        </xdr:contentPart>
      </mc:Choice>
      <mc:Fallback xmlns="">
        <xdr:pic>
          <xdr:nvPicPr>
            <xdr:cNvPr id="12" name="Ink 11">
              <a:extLst>
                <a:ext uri="{FF2B5EF4-FFF2-40B4-BE49-F238E27FC236}">
                  <a16:creationId xmlns:a16="http://schemas.microsoft.com/office/drawing/2014/main" id="{959C5C1F-E476-AA86-8B3C-8B13D58F137F}"/>
                </a:ext>
              </a:extLst>
            </xdr:cNvPr>
            <xdr:cNvPicPr/>
          </xdr:nvPicPr>
          <xdr:blipFill>
            <a:blip xmlns:r="http://schemas.openxmlformats.org/officeDocument/2006/relationships" r:embed="rId5"/>
            <a:stretch>
              <a:fillRect/>
            </a:stretch>
          </xdr:blipFill>
          <xdr:spPr>
            <a:xfrm>
              <a:off x="7208280" y="597960"/>
              <a:ext cx="36000" cy="36000"/>
            </a:xfrm>
            <a:prstGeom prst="rect">
              <a:avLst/>
            </a:prstGeom>
          </xdr:spPr>
        </xdr:pic>
      </mc:Fallback>
    </mc:AlternateContent>
    <xdr:clientData/>
  </xdr:twoCellAnchor>
  <xdr:twoCellAnchor editAs="oneCell">
    <xdr:from>
      <xdr:col>5</xdr:col>
      <xdr:colOff>1162200</xdr:colOff>
      <xdr:row>1</xdr:row>
      <xdr:rowOff>63560</xdr:rowOff>
    </xdr:from>
    <xdr:to>
      <xdr:col>7</xdr:col>
      <xdr:colOff>699680</xdr:colOff>
      <xdr:row>5</xdr:row>
      <xdr:rowOff>181720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8" name="Ink 17">
              <a:extLst>
                <a:ext uri="{FF2B5EF4-FFF2-40B4-BE49-F238E27FC236}">
                  <a16:creationId xmlns:a16="http://schemas.microsoft.com/office/drawing/2014/main" id="{58F58DDB-D1F6-72D9-1053-1896A3316D38}"/>
                </a:ext>
              </a:extLst>
            </xdr14:cNvPr>
            <xdr14:cNvContentPartPr/>
          </xdr14:nvContentPartPr>
          <xdr14:nvPr macro=""/>
          <xdr14:xfrm>
            <a:off x="8096400" y="266760"/>
            <a:ext cx="2636280" cy="930960"/>
          </xdr14:xfrm>
        </xdr:contentPart>
      </mc:Choice>
      <mc:Fallback xmlns="">
        <xdr:pic>
          <xdr:nvPicPr>
            <xdr:cNvPr id="18" name="Ink 17">
              <a:extLst>
                <a:ext uri="{FF2B5EF4-FFF2-40B4-BE49-F238E27FC236}">
                  <a16:creationId xmlns:a16="http://schemas.microsoft.com/office/drawing/2014/main" id="{58F58DDB-D1F6-72D9-1053-1896A3316D38}"/>
                </a:ext>
              </a:extLst>
            </xdr:cNvPr>
            <xdr:cNvPicPr/>
          </xdr:nvPicPr>
          <xdr:blipFill>
            <a:blip xmlns:r="http://schemas.openxmlformats.org/officeDocument/2006/relationships" r:embed="rId7"/>
            <a:stretch>
              <a:fillRect/>
            </a:stretch>
          </xdr:blipFill>
          <xdr:spPr>
            <a:xfrm>
              <a:off x="8078400" y="249120"/>
              <a:ext cx="2671920" cy="966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5-05T10:15:35.439"/>
    </inkml:context>
    <inkml:brush xml:id="br0">
      <inkml:brushProperty name="width" value="0.025" units="cm"/>
      <inkml:brushProperty name="height" value="0.025" units="cm"/>
      <inkml:brushProperty name="color" value="#E71224"/>
    </inkml:brush>
  </inkml:definitions>
  <inkml:trace contextRef="#ctx0" brushRef="#br0">0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5-05T10:16:21.837"/>
    </inkml:context>
    <inkml:brush xml:id="br0">
      <inkml:brushProperty name="width" value="0.1" units="cm"/>
      <inkml:brushProperty name="height" value="0.1" units="cm"/>
      <inkml:brushProperty name="color" value="#E71224"/>
    </inkml:brush>
  </inkml:definitions>
  <inkml:trace contextRef="#ctx0" brushRef="#br0">0 1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5-05T10:16:39.334"/>
    </inkml:context>
    <inkml:brush xml:id="br0">
      <inkml:brushProperty name="width" value="0.1" units="cm"/>
      <inkml:brushProperty name="height" value="0.1" units="cm"/>
      <inkml:brushProperty name="color" value="#E71224"/>
    </inkml:brush>
  </inkml:definitions>
  <inkml:trace contextRef="#ctx0" brushRef="#br0">5647 1995 24575,'-34'-59'0,"-24"-20"0,27 39 0,-2-1-1001,-12-5 1,-2 0 1000,6 5 0,-2 0 0,-4-2 0,-1-1 0,-4-6 0,-3 1 0,-16 3 0,0 0 0,23 0 0,0 2 0,-24 2 0,1 2 0,28 4 0,2 1 0,-9 2 0,-2 2 0,-2 3 0,0 2 0,5 3 0,-1 1 0,-5-1 0,0 1 0,4 4 0,3 0 0,-36-15 356,15 9-356,-1 2 0,10 7 0,-33-2 0,30 2 0,12 5 0,-3 2-178,-1 3 1,-1 1 177,5-4 0,-3 1 0,-22 5 0,-3 2-720,8-4 1,1 0 719,-1 4 0,-1 0 0,-13 0 0,0 0 0,14 4 0,1 1 0,-17 1 0,-2 0 0,5-1 0,0 2 0,-5 6 0,2 1 0,15-8 0,4 1 0,5 6 0,3 2 0,-36 2 898,24 5-898,14-7 0,16 4 206,21-6-206,-1 0 739,9 3-739,1 0 1596,-9 19-1596,-1 16 0,-7 9 0,4 9 0,-6 12 0,14-18 0,-7 18 0,7-35 0,3-4 0,-2 1 0,5-10 0,3 3 0,4 5 0,4-20 0,0 10 0,0-9 0,0-12 0,0 12 0,0-10 0,0 1 0,0 2 0,0-2 0,3 3 0,-2 6 0,6-11 0,-6 6 0,3-13 0,-4 1 0,0-2 0</inkml:trace>
  <inkml:trace contextRef="#ctx0" brushRef="#br0" timeOffset="744">1059 1503 24575,'34'52'0,"7"33"0,-11-42 0,1 0-627,-3 12 0,1-1 627,39 19 0,-32-26 0,-1-3 0,13-2 409,2 12-409,-37-42 208,-5-11-208,-5-6 0,6-14 0,-3 1 637,17-23-637,-3 0 0,16-10 0,-3-19 0,-7 38 0,-5-20 0,-17 38 0,1-2 0,-5 9 0</inkml:trace>
  <inkml:trace contextRef="#ctx0" brushRef="#br0" timeOffset="2177">0 2015 24575,'5'-55'0,"-2"-17"0,-3 18 0,0-3-1242,3 1 0,2-1 1242,8-16 0,4-1 0,-2 11 0,2-2-885,2 1 1,2-5 0,1 4 884,6-5 0,3 0 0,-5 4 0,2-3 0,4 6-175,17-2 0,3 4 175,-1-7 0,3 3 0,10 12 0,1 4 0,-14 4 0,-1 4-340,5 6 0,1 3 340,-6 3 0,-1 3 0,5 3 0,3 2-351,16 0 1,3 3 350,6 1 0,4 2 0,-17 4 0,3 1 0,2 0 0,6-2 0,2 1 0,1 1 0,-1 1 0,1 2 0,3-2-25,10-2 1,3 0 0,-1 0 24,-10 3 0,-2 0 0,3 1 0,8 2 0,2 1 0,1 1 0,-1-1 0,0 0 0,1 2-585,-19 1 1,1 1 0,0 0 0,-1 1 584,-1-1 0,-1 0 0,0 0 0,0 0 0,0-1 0,-1 1 0,0 0 0,-2 1-514,17 1 0,-3 1 0,-1 1 514,-5 2 0,-2 1 0,-3 2 21,21 6 0,-6 2-21,-5 2 0,-4 3 0,-14 6 0,-2 3 405,-4-1 0,-1 1-405,0 3 0,-2 2 0,-8 1 0,-2-1 1454,-3-8 0,-2 0-1454,-1 6 0,-1 3 0,1-1 0,0 2 0,1 5 0,1 1 0,0-1 0,-1 1 0,2 4 0,0-1 0,3-7 0,0-1 0,-3 4 0,0-1 0,1-9 0,-1-1 0,-8 2 0,-2 0 0,5-2 0,-2-1 0,12 16 0,4-3 0,-11-10 0,-23-12 2881,11 6-2881,-24-17 1906,-5-3-1906,4 4 1459,-9-3-1459,6 2 814,2 31-814,0-22 0,5 45 0,-9-26 0,10 42 0,-13 5-825,13 13 825,-13-44 0,-2-3 0,8 23 0,-15 6 0,6-23 0,-6-13 0,4-9 0,2-17 0,-3-14 0,4-3 0,0-5 0</inkml:trace>
  <inkml:trace contextRef="#ctx0" brushRef="#br0" timeOffset="2776">6504 1867 14344,'25'26'0,"17"20"0,2 0 0,-1-1 0,4 2 0,-5-4 0,4 1 0,3 2 0,4 4 0,-2-4 0,7 3 0,-2-3 0,4 8 0,-5-5 4239,-2-4-4239,-29-21 1771,-12-12-1771,-8-11 966,0-6-966,-4-8 3255,0-9-3255,0-40 0,0-2 0,0-10 0,4 20 0,2 23 0,6-12 0,-2 16 0,-3-8 0,0 19 0,-6 7 0,2 2 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E383-1FC9-F945-B266-07AF097179DE}">
  <sheetPr>
    <tabColor theme="5"/>
  </sheetPr>
  <dimension ref="A1"/>
  <sheetViews>
    <sheetView showGridLines="0" topLeftCell="A3" zoomScale="125" workbookViewId="0">
      <selection activeCell="K4" sqref="K4"/>
    </sheetView>
  </sheetViews>
  <sheetFormatPr baseColWidth="10" defaultRowHeight="16" x14ac:dyDescent="0.2"/>
  <cols>
    <col min="1" max="1" width="9.6640625" customWidth="1"/>
    <col min="2" max="15" width="20.332031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6B77-9206-EF46-9544-3EF0EFF1A141}">
  <dimension ref="A1:BJ89"/>
  <sheetViews>
    <sheetView showGridLines="0" tabSelected="1" zoomScale="130" zoomScaleNormal="130" workbookViewId="0">
      <pane xSplit="1" topLeftCell="B1" activePane="topRight" state="frozen"/>
      <selection pane="topRight" activeCell="A3" sqref="A3:XFD3"/>
    </sheetView>
  </sheetViews>
  <sheetFormatPr baseColWidth="10" defaultRowHeight="14" x14ac:dyDescent="0.2"/>
  <cols>
    <col min="1" max="2" width="21.33203125" style="31" customWidth="1"/>
    <col min="3" max="3" width="19" style="9" customWidth="1"/>
    <col min="4" max="4" width="27.33203125" style="9" customWidth="1"/>
    <col min="5" max="5" width="27.5" style="2" customWidth="1"/>
    <col min="6" max="6" width="18" style="31" customWidth="1"/>
    <col min="7" max="7" width="17.6640625" style="38" customWidth="1"/>
    <col min="8" max="8" width="48.83203125" style="2" customWidth="1"/>
    <col min="9" max="9" width="11" style="1" customWidth="1"/>
    <col min="10" max="16384" width="10.83203125" style="1"/>
  </cols>
  <sheetData>
    <row r="1" spans="1:17" ht="15" thickBot="1" x14ac:dyDescent="0.25"/>
    <row r="2" spans="1:17" x14ac:dyDescent="0.2">
      <c r="F2" s="270" t="s">
        <v>1</v>
      </c>
      <c r="G2" s="271"/>
      <c r="I2" s="315" t="s">
        <v>221</v>
      </c>
      <c r="J2" s="315"/>
      <c r="K2" s="316"/>
      <c r="L2" s="334" t="s">
        <v>227</v>
      </c>
      <c r="M2" s="334"/>
      <c r="N2" s="334"/>
      <c r="O2" s="334" t="s">
        <v>230</v>
      </c>
      <c r="P2" s="334"/>
      <c r="Q2" s="334"/>
    </row>
    <row r="3" spans="1:17" s="395" customFormat="1" ht="30" customHeight="1" thickBot="1" x14ac:dyDescent="0.25">
      <c r="A3" s="32" t="s">
        <v>232</v>
      </c>
      <c r="B3" s="32" t="s">
        <v>0</v>
      </c>
      <c r="C3" s="33" t="s">
        <v>2</v>
      </c>
      <c r="D3" s="34" t="s">
        <v>6</v>
      </c>
      <c r="E3" s="3" t="s">
        <v>10</v>
      </c>
      <c r="F3" s="32" t="s">
        <v>155</v>
      </c>
      <c r="G3" s="390" t="s">
        <v>154</v>
      </c>
      <c r="H3" s="3" t="s">
        <v>3</v>
      </c>
      <c r="I3" s="391" t="s">
        <v>222</v>
      </c>
      <c r="J3" s="391" t="s">
        <v>228</v>
      </c>
      <c r="K3" s="392" t="s">
        <v>229</v>
      </c>
      <c r="L3" s="393" t="s">
        <v>222</v>
      </c>
      <c r="M3" s="393" t="s">
        <v>224</v>
      </c>
      <c r="N3" s="393" t="s">
        <v>223</v>
      </c>
      <c r="O3" s="394" t="s">
        <v>222</v>
      </c>
      <c r="P3" s="394" t="s">
        <v>225</v>
      </c>
      <c r="Q3" s="394" t="s">
        <v>226</v>
      </c>
    </row>
    <row r="4" spans="1:17" ht="119" customHeight="1" x14ac:dyDescent="0.2">
      <c r="A4" s="277" t="s">
        <v>54</v>
      </c>
      <c r="B4" s="297" t="s">
        <v>5</v>
      </c>
      <c r="C4" s="294" t="s">
        <v>11</v>
      </c>
      <c r="D4" s="301" t="s">
        <v>7</v>
      </c>
      <c r="E4" s="18" t="s">
        <v>12</v>
      </c>
      <c r="F4" s="43" t="s">
        <v>16</v>
      </c>
      <c r="G4" s="60" t="s">
        <v>19</v>
      </c>
      <c r="H4" s="122" t="s">
        <v>220</v>
      </c>
      <c r="I4" s="345">
        <v>0.3</v>
      </c>
      <c r="J4" s="346">
        <v>0.1</v>
      </c>
      <c r="K4" s="347">
        <v>0.4</v>
      </c>
      <c r="L4" s="205">
        <v>0</v>
      </c>
      <c r="M4" s="335">
        <f>IF(L6&lt;=0,0,IF(L6&lt;=0.2,0.1,IF(L6&lt;=0.4,0.2,IF(L6&lt;=0.6,0.3,IF(L6&lt;=0.8,0.4,IF(L6&lt;=0.9,0.5,0.1))))))</f>
        <v>0</v>
      </c>
      <c r="N4" s="342">
        <f>IF(M30&lt;=0,0,IF(M30&lt;=0.2,0.08,IF(M30&lt;=0.4,0.16,IF(M30&lt;=0.75,0.32,IF(M30&lt;=0.9,0.4,IF(M30&lt;=0.95,0.4,0.4))))))</f>
        <v>0</v>
      </c>
      <c r="O4" s="206"/>
      <c r="P4" s="317"/>
      <c r="Q4" s="319"/>
    </row>
    <row r="5" spans="1:17" ht="161" customHeight="1" x14ac:dyDescent="0.2">
      <c r="A5" s="278"/>
      <c r="B5" s="298"/>
      <c r="C5" s="295"/>
      <c r="D5" s="300"/>
      <c r="E5" s="11" t="s">
        <v>13</v>
      </c>
      <c r="F5" s="44" t="s">
        <v>17</v>
      </c>
      <c r="G5" s="78" t="s">
        <v>20</v>
      </c>
      <c r="H5" s="123" t="s">
        <v>219</v>
      </c>
      <c r="I5" s="348">
        <v>0.5</v>
      </c>
      <c r="J5" s="349"/>
      <c r="K5" s="350"/>
      <c r="L5" s="146">
        <v>0</v>
      </c>
      <c r="M5" s="336"/>
      <c r="N5" s="343"/>
      <c r="O5" s="167"/>
      <c r="P5" s="318"/>
      <c r="Q5" s="320"/>
    </row>
    <row r="6" spans="1:17" ht="19" customHeight="1" x14ac:dyDescent="0.2">
      <c r="A6" s="278"/>
      <c r="B6" s="298"/>
      <c r="C6" s="295"/>
      <c r="D6" s="209"/>
      <c r="E6" s="210"/>
      <c r="F6" s="211"/>
      <c r="G6" s="212"/>
      <c r="H6" s="213"/>
      <c r="I6" s="351"/>
      <c r="J6" s="352"/>
      <c r="K6" s="350"/>
      <c r="L6" s="146">
        <f>AVERAGE(L4:L5)</f>
        <v>0</v>
      </c>
      <c r="M6" s="152"/>
      <c r="N6" s="343"/>
      <c r="O6" s="167"/>
      <c r="P6" s="318"/>
      <c r="Q6" s="320"/>
    </row>
    <row r="7" spans="1:17" ht="119" customHeight="1" x14ac:dyDescent="0.2">
      <c r="A7" s="278"/>
      <c r="B7" s="298"/>
      <c r="C7" s="295"/>
      <c r="D7" s="10" t="s">
        <v>8</v>
      </c>
      <c r="E7" s="8" t="s">
        <v>14</v>
      </c>
      <c r="F7" s="44" t="s">
        <v>18</v>
      </c>
      <c r="G7" s="59" t="s">
        <v>20</v>
      </c>
      <c r="H7" s="123" t="s">
        <v>218</v>
      </c>
      <c r="I7" s="353">
        <v>1</v>
      </c>
      <c r="J7" s="354">
        <v>0.1</v>
      </c>
      <c r="K7" s="350"/>
      <c r="L7" s="146">
        <v>0</v>
      </c>
      <c r="M7" s="151">
        <f>IF(L7&lt;=0,0,IF(L7&lt;=0.2,0.1,IF(L7&lt;=0.4,0.2,IF(L7&lt;=0.6,0.3,IF(L7&lt;=0.8,0.4,IF(L7&lt;=0.9,0.5,0.1))))))</f>
        <v>0</v>
      </c>
      <c r="N7" s="343"/>
      <c r="O7" s="167"/>
      <c r="P7" s="318"/>
      <c r="Q7" s="320"/>
    </row>
    <row r="8" spans="1:17" ht="119" customHeight="1" x14ac:dyDescent="0.2">
      <c r="A8" s="278"/>
      <c r="B8" s="298"/>
      <c r="C8" s="295"/>
      <c r="D8" s="289" t="s">
        <v>9</v>
      </c>
      <c r="E8" s="8" t="s">
        <v>15</v>
      </c>
      <c r="F8" s="44" t="s">
        <v>17</v>
      </c>
      <c r="G8" s="78" t="s">
        <v>20</v>
      </c>
      <c r="H8" s="124" t="s">
        <v>217</v>
      </c>
      <c r="I8" s="348">
        <v>0.2</v>
      </c>
      <c r="J8" s="355">
        <v>0.2</v>
      </c>
      <c r="K8" s="350"/>
      <c r="L8" s="147">
        <v>0</v>
      </c>
      <c r="M8" s="337">
        <f>IF(L10&lt;=0,0,IF(L10&lt;=0.2,0.1,IF(L10&lt;=0.4,0.2,IF(L10&lt;=0.6,0.3,IF(L10&lt;=0.8,0.4,IF(L10&lt;=0.9,0.5,0.2))))))</f>
        <v>0</v>
      </c>
      <c r="N8" s="343"/>
      <c r="O8" s="169"/>
      <c r="P8" s="318"/>
      <c r="Q8" s="320"/>
    </row>
    <row r="9" spans="1:17" ht="134" customHeight="1" x14ac:dyDescent="0.2">
      <c r="A9" s="278"/>
      <c r="B9" s="298"/>
      <c r="C9" s="295"/>
      <c r="D9" s="300"/>
      <c r="E9" s="11" t="s">
        <v>21</v>
      </c>
      <c r="F9" s="44" t="s">
        <v>22</v>
      </c>
      <c r="G9" s="59" t="s">
        <v>23</v>
      </c>
      <c r="H9" s="124" t="s">
        <v>216</v>
      </c>
      <c r="I9" s="356">
        <v>0.8</v>
      </c>
      <c r="J9" s="357"/>
      <c r="K9" s="350"/>
      <c r="L9" s="146">
        <v>0</v>
      </c>
      <c r="M9" s="336"/>
      <c r="N9" s="343"/>
      <c r="O9" s="167"/>
      <c r="P9" s="318"/>
      <c r="Q9" s="320"/>
    </row>
    <row r="10" spans="1:17" ht="17" customHeight="1" x14ac:dyDescent="0.2">
      <c r="A10" s="278"/>
      <c r="B10" s="298"/>
      <c r="C10" s="295"/>
      <c r="D10" s="214"/>
      <c r="E10" s="215"/>
      <c r="F10" s="216"/>
      <c r="G10" s="212"/>
      <c r="H10" s="217"/>
      <c r="I10" s="358"/>
      <c r="J10" s="359"/>
      <c r="K10" s="350"/>
      <c r="L10" s="146">
        <f>AVERAGE(L8:L9)</f>
        <v>0</v>
      </c>
      <c r="M10" s="153"/>
      <c r="N10" s="343"/>
      <c r="O10" s="167"/>
      <c r="P10" s="318"/>
      <c r="Q10" s="320"/>
    </row>
    <row r="11" spans="1:17" ht="106" customHeight="1" x14ac:dyDescent="0.2">
      <c r="A11" s="278"/>
      <c r="B11" s="298"/>
      <c r="C11" s="295"/>
      <c r="D11" s="289" t="s">
        <v>24</v>
      </c>
      <c r="E11" s="6" t="s">
        <v>25</v>
      </c>
      <c r="F11" s="45" t="s">
        <v>17</v>
      </c>
      <c r="G11" s="78" t="s">
        <v>20</v>
      </c>
      <c r="H11" s="124" t="s">
        <v>215</v>
      </c>
      <c r="I11" s="353">
        <v>0.5</v>
      </c>
      <c r="J11" s="360">
        <v>0.1</v>
      </c>
      <c r="K11" s="350"/>
      <c r="L11" s="146">
        <v>0</v>
      </c>
      <c r="M11" s="337">
        <f>IF(L14&lt;=0,0,IF(L14&lt;=0.2,0.1,IF(L14&lt;=0.4,0.2,IF(L14&lt;=0.6,0.3,IF(L14&lt;=0.8,0.4,IF(L14&lt;=0.9,0.5,0.1))))))</f>
        <v>0</v>
      </c>
      <c r="N11" s="343"/>
      <c r="O11" s="167"/>
      <c r="P11" s="318"/>
      <c r="Q11" s="320"/>
    </row>
    <row r="12" spans="1:17" ht="102" customHeight="1" x14ac:dyDescent="0.2">
      <c r="A12" s="278"/>
      <c r="B12" s="298"/>
      <c r="C12" s="295"/>
      <c r="D12" s="290"/>
      <c r="E12" s="12" t="s">
        <v>26</v>
      </c>
      <c r="F12" s="46" t="s">
        <v>16</v>
      </c>
      <c r="G12" s="42" t="s">
        <v>20</v>
      </c>
      <c r="H12" s="125" t="s">
        <v>214</v>
      </c>
      <c r="I12" s="353">
        <v>0.25</v>
      </c>
      <c r="J12" s="360"/>
      <c r="K12" s="350"/>
      <c r="L12" s="146">
        <v>0</v>
      </c>
      <c r="M12" s="338"/>
      <c r="N12" s="343"/>
      <c r="O12" s="167"/>
      <c r="P12" s="318"/>
      <c r="Q12" s="320"/>
    </row>
    <row r="13" spans="1:17" ht="89" customHeight="1" x14ac:dyDescent="0.2">
      <c r="A13" s="278"/>
      <c r="B13" s="298"/>
      <c r="C13" s="295"/>
      <c r="D13" s="300"/>
      <c r="E13" s="11" t="s">
        <v>27</v>
      </c>
      <c r="F13" s="46" t="s">
        <v>28</v>
      </c>
      <c r="G13" s="14" t="s">
        <v>29</v>
      </c>
      <c r="H13" s="126" t="s">
        <v>213</v>
      </c>
      <c r="I13" s="353">
        <v>0.25</v>
      </c>
      <c r="J13" s="360"/>
      <c r="K13" s="350"/>
      <c r="L13" s="147">
        <v>0</v>
      </c>
      <c r="M13" s="336"/>
      <c r="N13" s="343"/>
      <c r="O13" s="169"/>
      <c r="P13" s="318"/>
      <c r="Q13" s="320"/>
    </row>
    <row r="14" spans="1:17" ht="20" customHeight="1" x14ac:dyDescent="0.2">
      <c r="A14" s="278"/>
      <c r="B14" s="298"/>
      <c r="C14" s="295"/>
      <c r="D14" s="214"/>
      <c r="E14" s="218"/>
      <c r="F14" s="219"/>
      <c r="G14" s="220"/>
      <c r="H14" s="221"/>
      <c r="I14" s="351"/>
      <c r="J14" s="361"/>
      <c r="K14" s="350"/>
      <c r="L14" s="147">
        <f>AVERAGE(L11:L13)</f>
        <v>0</v>
      </c>
      <c r="M14" s="153"/>
      <c r="N14" s="343"/>
      <c r="O14" s="169"/>
      <c r="P14" s="168"/>
      <c r="Q14" s="320"/>
    </row>
    <row r="15" spans="1:17" ht="119" customHeight="1" x14ac:dyDescent="0.2">
      <c r="A15" s="278"/>
      <c r="B15" s="298"/>
      <c r="C15" s="295"/>
      <c r="D15" s="289" t="s">
        <v>30</v>
      </c>
      <c r="E15" s="11" t="s">
        <v>31</v>
      </c>
      <c r="F15" s="46" t="s">
        <v>17</v>
      </c>
      <c r="G15" s="15" t="s">
        <v>20</v>
      </c>
      <c r="H15" s="126" t="s">
        <v>212</v>
      </c>
      <c r="I15" s="362">
        <v>0.5</v>
      </c>
      <c r="J15" s="360">
        <v>0.1</v>
      </c>
      <c r="K15" s="350"/>
      <c r="L15" s="146">
        <v>0</v>
      </c>
      <c r="M15" s="337">
        <f>IF(L17&lt;=0,0,IF(L17&lt;=0.2,0.1,IF(L17&lt;=0.4,0.2,IF(L17&lt;=0.6,0.3,IF(L17&lt;=0.8,0.4,IF(L17&lt;=0.9,0.5,0.1))))))</f>
        <v>0</v>
      </c>
      <c r="N15" s="343"/>
      <c r="O15" s="167"/>
      <c r="P15" s="318"/>
      <c r="Q15" s="320"/>
    </row>
    <row r="16" spans="1:17" ht="133" customHeight="1" x14ac:dyDescent="0.2">
      <c r="A16" s="278"/>
      <c r="B16" s="298"/>
      <c r="C16" s="295"/>
      <c r="D16" s="300"/>
      <c r="E16" s="7" t="s">
        <v>32</v>
      </c>
      <c r="F16" s="47" t="s">
        <v>28</v>
      </c>
      <c r="G16" s="15" t="s">
        <v>20</v>
      </c>
      <c r="H16" s="126" t="s">
        <v>211</v>
      </c>
      <c r="I16" s="353">
        <v>0.5</v>
      </c>
      <c r="J16" s="360"/>
      <c r="K16" s="350"/>
      <c r="L16" s="146">
        <v>0</v>
      </c>
      <c r="M16" s="336"/>
      <c r="N16" s="343"/>
      <c r="O16" s="167"/>
      <c r="P16" s="318"/>
      <c r="Q16" s="320"/>
    </row>
    <row r="17" spans="1:17" ht="20" customHeight="1" x14ac:dyDescent="0.2">
      <c r="A17" s="278"/>
      <c r="B17" s="298"/>
      <c r="C17" s="295"/>
      <c r="D17" s="214"/>
      <c r="E17" s="215"/>
      <c r="F17" s="222"/>
      <c r="G17" s="220"/>
      <c r="H17" s="221"/>
      <c r="I17" s="351"/>
      <c r="J17" s="363"/>
      <c r="K17" s="350"/>
      <c r="L17" s="146">
        <f>AVERAGE(L15:L16)</f>
        <v>0</v>
      </c>
      <c r="M17" s="153"/>
      <c r="N17" s="343"/>
      <c r="O17" s="167"/>
      <c r="P17" s="318"/>
      <c r="Q17" s="320"/>
    </row>
    <row r="18" spans="1:17" ht="132" customHeight="1" x14ac:dyDescent="0.2">
      <c r="A18" s="278"/>
      <c r="B18" s="298"/>
      <c r="C18" s="295"/>
      <c r="D18" s="289" t="s">
        <v>33</v>
      </c>
      <c r="E18" s="12" t="s">
        <v>34</v>
      </c>
      <c r="F18" s="46" t="s">
        <v>28</v>
      </c>
      <c r="G18" s="79" t="s">
        <v>20</v>
      </c>
      <c r="H18" s="126" t="s">
        <v>210</v>
      </c>
      <c r="I18" s="348">
        <v>0.1</v>
      </c>
      <c r="J18" s="355">
        <v>0.1</v>
      </c>
      <c r="K18" s="350"/>
      <c r="L18" s="146">
        <v>0</v>
      </c>
      <c r="M18" s="339">
        <f>IF(L21&lt;=0,0,IF(L21&lt;=0.2,0.1,IF(L21&lt;=0.4,0.2,IF(L21&lt;=0.6,0.3,IF(L21&lt;=0.8,0.4,IF(L21&lt;=0.9,0.5,0.1))))))</f>
        <v>0</v>
      </c>
      <c r="N18" s="343"/>
      <c r="O18" s="167"/>
      <c r="P18" s="318"/>
      <c r="Q18" s="320"/>
    </row>
    <row r="19" spans="1:17" ht="90" customHeight="1" x14ac:dyDescent="0.2">
      <c r="A19" s="278"/>
      <c r="B19" s="298"/>
      <c r="C19" s="295"/>
      <c r="D19" s="290"/>
      <c r="E19" s="16" t="s">
        <v>35</v>
      </c>
      <c r="F19" s="46" t="s">
        <v>17</v>
      </c>
      <c r="G19" s="13" t="s">
        <v>37</v>
      </c>
      <c r="H19" s="125" t="s">
        <v>209</v>
      </c>
      <c r="I19" s="348">
        <v>0.4</v>
      </c>
      <c r="J19" s="357"/>
      <c r="K19" s="350"/>
      <c r="L19" s="147">
        <v>0</v>
      </c>
      <c r="M19" s="340"/>
      <c r="N19" s="343"/>
      <c r="O19" s="169"/>
      <c r="P19" s="318"/>
      <c r="Q19" s="320"/>
    </row>
    <row r="20" spans="1:17" ht="105" customHeight="1" x14ac:dyDescent="0.2">
      <c r="A20" s="278"/>
      <c r="B20" s="298"/>
      <c r="C20" s="295"/>
      <c r="D20" s="300"/>
      <c r="E20" s="11" t="s">
        <v>36</v>
      </c>
      <c r="F20" s="46" t="s">
        <v>18</v>
      </c>
      <c r="G20" s="14" t="s">
        <v>20</v>
      </c>
      <c r="H20" s="125" t="s">
        <v>208</v>
      </c>
      <c r="I20" s="364">
        <v>0.6</v>
      </c>
      <c r="J20" s="357"/>
      <c r="K20" s="350"/>
      <c r="L20" s="148">
        <f>AVERAGE(L15:L18)</f>
        <v>0</v>
      </c>
      <c r="M20" s="341"/>
      <c r="N20" s="343"/>
      <c r="O20" s="170"/>
      <c r="P20" s="169"/>
      <c r="Q20" s="320"/>
    </row>
    <row r="21" spans="1:17" ht="19" customHeight="1" x14ac:dyDescent="0.2">
      <c r="A21" s="278"/>
      <c r="B21" s="298"/>
      <c r="C21" s="295"/>
      <c r="D21" s="214"/>
      <c r="E21" s="223"/>
      <c r="F21" s="222"/>
      <c r="G21" s="220"/>
      <c r="H21" s="224"/>
      <c r="I21" s="365"/>
      <c r="J21" s="359"/>
      <c r="K21" s="350"/>
      <c r="L21" s="148">
        <f>AVERAGE(L18:L20)</f>
        <v>0</v>
      </c>
      <c r="M21" s="154"/>
      <c r="N21" s="343"/>
      <c r="O21" s="149"/>
      <c r="P21" s="147"/>
      <c r="Q21" s="207"/>
    </row>
    <row r="22" spans="1:17" ht="104" customHeight="1" x14ac:dyDescent="0.2">
      <c r="A22" s="278"/>
      <c r="B22" s="298"/>
      <c r="C22" s="295"/>
      <c r="D22" s="289" t="s">
        <v>38</v>
      </c>
      <c r="E22" s="16" t="s">
        <v>39</v>
      </c>
      <c r="F22" s="80" t="s">
        <v>18</v>
      </c>
      <c r="G22" s="15" t="s">
        <v>20</v>
      </c>
      <c r="H22" s="127" t="s">
        <v>207</v>
      </c>
      <c r="I22" s="366">
        <v>0.1</v>
      </c>
      <c r="J22" s="360">
        <v>0.1</v>
      </c>
      <c r="K22" s="350"/>
      <c r="L22" s="148">
        <v>0</v>
      </c>
      <c r="M22" s="372">
        <f>IF(L26&lt;=0,0,IF(L26&lt;=0.2,0.1,IF(L26&lt;=0.4,0.2,IF(L26&lt;=0.6,0.3,IF(L26&lt;=0.8,0.4,IF(L26&lt;=0.9,0.5,0.1))))))</f>
        <v>0</v>
      </c>
      <c r="N22" s="343"/>
      <c r="O22" s="150"/>
      <c r="P22" s="150"/>
      <c r="Q22" s="201"/>
    </row>
    <row r="23" spans="1:17" ht="102" customHeight="1" x14ac:dyDescent="0.2">
      <c r="A23" s="278"/>
      <c r="B23" s="298"/>
      <c r="C23" s="295"/>
      <c r="D23" s="290"/>
      <c r="E23" s="11" t="s">
        <v>40</v>
      </c>
      <c r="F23" s="80" t="s">
        <v>18</v>
      </c>
      <c r="G23" s="15" t="s">
        <v>20</v>
      </c>
      <c r="H23" s="128" t="s">
        <v>206</v>
      </c>
      <c r="I23" s="366">
        <v>0.3</v>
      </c>
      <c r="J23" s="360"/>
      <c r="K23" s="350"/>
      <c r="L23" s="148">
        <v>0</v>
      </c>
      <c r="M23" s="373"/>
      <c r="N23" s="343"/>
      <c r="O23" s="150"/>
      <c r="P23" s="150"/>
      <c r="Q23" s="201"/>
    </row>
    <row r="24" spans="1:17" ht="90" customHeight="1" x14ac:dyDescent="0.2">
      <c r="A24" s="278"/>
      <c r="B24" s="298"/>
      <c r="C24" s="295"/>
      <c r="D24" s="290"/>
      <c r="E24" s="11" t="s">
        <v>41</v>
      </c>
      <c r="F24" s="80" t="s">
        <v>18</v>
      </c>
      <c r="G24" s="15" t="s">
        <v>20</v>
      </c>
      <c r="H24" s="128" t="s">
        <v>205</v>
      </c>
      <c r="I24" s="366">
        <v>0.5</v>
      </c>
      <c r="J24" s="360"/>
      <c r="K24" s="350"/>
      <c r="L24" s="148">
        <v>0</v>
      </c>
      <c r="M24" s="373"/>
      <c r="N24" s="343"/>
      <c r="O24" s="150"/>
      <c r="P24" s="150"/>
      <c r="Q24" s="201"/>
    </row>
    <row r="25" spans="1:17" ht="118" customHeight="1" thickBot="1" x14ac:dyDescent="0.25">
      <c r="A25" s="278"/>
      <c r="B25" s="298"/>
      <c r="C25" s="295"/>
      <c r="D25" s="291"/>
      <c r="E25" s="11" t="s">
        <v>42</v>
      </c>
      <c r="F25" s="80" t="s">
        <v>18</v>
      </c>
      <c r="G25" s="15" t="s">
        <v>43</v>
      </c>
      <c r="H25" s="165" t="s">
        <v>204</v>
      </c>
      <c r="I25" s="366">
        <v>0.1</v>
      </c>
      <c r="J25" s="360"/>
      <c r="K25" s="350"/>
      <c r="L25" s="148">
        <v>0</v>
      </c>
      <c r="M25" s="374"/>
      <c r="N25" s="343"/>
      <c r="O25" s="150"/>
      <c r="P25" s="150"/>
      <c r="Q25" s="201"/>
    </row>
    <row r="26" spans="1:17" ht="15" customHeight="1" thickBot="1" x14ac:dyDescent="0.25">
      <c r="A26" s="278"/>
      <c r="B26" s="298"/>
      <c r="C26" s="295"/>
      <c r="D26" s="225"/>
      <c r="E26" s="210"/>
      <c r="F26" s="226"/>
      <c r="G26" s="227"/>
      <c r="H26" s="228"/>
      <c r="I26" s="367"/>
      <c r="J26" s="361"/>
      <c r="K26" s="350"/>
      <c r="L26" s="148">
        <f>AVERAGE(L22:L25)</f>
        <v>0</v>
      </c>
      <c r="M26" s="166"/>
      <c r="N26" s="343"/>
      <c r="O26" s="150"/>
      <c r="P26" s="150"/>
      <c r="Q26" s="201"/>
    </row>
    <row r="27" spans="1:17" ht="147" customHeight="1" x14ac:dyDescent="0.2">
      <c r="A27" s="278"/>
      <c r="B27" s="298"/>
      <c r="C27" s="295"/>
      <c r="D27" s="35" t="s">
        <v>44</v>
      </c>
      <c r="E27" s="17" t="s">
        <v>203</v>
      </c>
      <c r="F27" s="48" t="s">
        <v>28</v>
      </c>
      <c r="G27" s="160" t="s">
        <v>46</v>
      </c>
      <c r="H27" s="162" t="s">
        <v>202</v>
      </c>
      <c r="I27" s="366">
        <v>1</v>
      </c>
      <c r="J27" s="354">
        <v>0.1</v>
      </c>
      <c r="K27" s="350"/>
      <c r="L27" s="148">
        <v>0</v>
      </c>
      <c r="M27" s="375">
        <f>IF(L27&lt;=0,0,IF(L27&lt;=0.2,0.1,IF(L27&lt;=0.4,0.2,IF(L27&lt;=0.6,0.3,IF(L27&lt;=0.8,0.4,IF(L27&lt;=0.9,0.5,0.1))))))</f>
        <v>0</v>
      </c>
      <c r="N27" s="343"/>
      <c r="O27" s="150"/>
      <c r="P27" s="150"/>
      <c r="Q27" s="201"/>
    </row>
    <row r="28" spans="1:17" ht="119" customHeight="1" x14ac:dyDescent="0.2">
      <c r="A28" s="278"/>
      <c r="B28" s="298"/>
      <c r="C28" s="295"/>
      <c r="D28" s="292" t="s">
        <v>47</v>
      </c>
      <c r="E28" s="11" t="s">
        <v>48</v>
      </c>
      <c r="F28" s="44" t="s">
        <v>50</v>
      </c>
      <c r="G28" s="160" t="s">
        <v>52</v>
      </c>
      <c r="H28" s="163" t="s">
        <v>201</v>
      </c>
      <c r="I28" s="366">
        <v>0.5</v>
      </c>
      <c r="J28" s="368">
        <v>0.1</v>
      </c>
      <c r="K28" s="350"/>
      <c r="L28" s="148">
        <f>AVERAGE(L22:L25)</f>
        <v>0</v>
      </c>
      <c r="M28" s="372">
        <f>IF(L30&lt;=0,0,IF(L30&lt;=0.2,0.1,IF(L30&lt;=0.4,0.2,IF(L30&lt;=0.6,0.3,IF(L30&lt;=0.8,0.4,IF(L30&lt;=0.9,0.5,0.1))))))</f>
        <v>0</v>
      </c>
      <c r="N28" s="343"/>
      <c r="O28" s="150"/>
      <c r="P28" s="150"/>
      <c r="Q28" s="201"/>
    </row>
    <row r="29" spans="1:17" ht="174" customHeight="1" thickBot="1" x14ac:dyDescent="0.25">
      <c r="A29" s="279"/>
      <c r="B29" s="299"/>
      <c r="C29" s="296"/>
      <c r="D29" s="293"/>
      <c r="E29" s="19" t="s">
        <v>49</v>
      </c>
      <c r="F29" s="49" t="s">
        <v>51</v>
      </c>
      <c r="G29" s="161" t="s">
        <v>20</v>
      </c>
      <c r="H29" s="164" t="s">
        <v>200</v>
      </c>
      <c r="I29" s="369">
        <v>0.5</v>
      </c>
      <c r="J29" s="370"/>
      <c r="K29" s="371"/>
      <c r="L29" s="208">
        <v>0</v>
      </c>
      <c r="M29" s="376"/>
      <c r="N29" s="344"/>
      <c r="O29" s="156"/>
      <c r="P29" s="156"/>
      <c r="Q29" s="203"/>
    </row>
    <row r="30" spans="1:17" ht="20" customHeight="1" thickBot="1" x14ac:dyDescent="0.25">
      <c r="A30" s="302" t="s">
        <v>231</v>
      </c>
      <c r="B30" s="303"/>
      <c r="C30" s="303"/>
      <c r="D30" s="303"/>
      <c r="E30" s="303"/>
      <c r="F30" s="303"/>
      <c r="G30" s="303"/>
      <c r="H30" s="303"/>
      <c r="I30" s="157"/>
      <c r="J30" s="157"/>
      <c r="K30" s="157">
        <f t="shared" ref="K30" si="0">SUM(K4:K29)</f>
        <v>0.4</v>
      </c>
      <c r="L30" s="157">
        <f>AVERAGE(L28:L29)</f>
        <v>0</v>
      </c>
      <c r="M30" s="157">
        <f>SUM(M28,M27,M22,M18,M15,M11,M8,M7,M4)</f>
        <v>0</v>
      </c>
      <c r="N30" s="157">
        <f t="shared" ref="N30" si="1">SUM(N4:N29)</f>
        <v>0</v>
      </c>
      <c r="O30" s="158"/>
      <c r="P30" s="158"/>
      <c r="Q30" s="159"/>
    </row>
    <row r="31" spans="1:17" ht="175" customHeight="1" x14ac:dyDescent="0.2">
      <c r="A31" s="286" t="s">
        <v>53</v>
      </c>
      <c r="B31" s="283" t="s">
        <v>56</v>
      </c>
      <c r="C31" s="280" t="s">
        <v>55</v>
      </c>
      <c r="D31" s="261" t="s">
        <v>57</v>
      </c>
      <c r="E31" s="26" t="s">
        <v>58</v>
      </c>
      <c r="F31" s="50" t="s">
        <v>16</v>
      </c>
      <c r="G31" s="24" t="s">
        <v>61</v>
      </c>
      <c r="H31" s="133" t="s">
        <v>199</v>
      </c>
      <c r="I31" s="191">
        <v>0.1</v>
      </c>
      <c r="J31" s="321">
        <v>0.2</v>
      </c>
      <c r="K31" s="326">
        <v>0.2</v>
      </c>
      <c r="L31" s="198">
        <v>0</v>
      </c>
      <c r="M31" s="253">
        <f>IF(L33&lt;=0,0,IF(L33&lt;=0.2,0.1,IF(L33&lt;=0.4,0.2,IF(L33&lt;=0.6,0.3,IF(L33&lt;=0.8,0.4,IF(L33&lt;=0.9,0.5,0.2))))))</f>
        <v>0</v>
      </c>
      <c r="N31" s="253">
        <f>IF(M40&lt;=0,0,IF(M40&lt;=0.2,0.08,IF(M40&lt;=0.4,0.16,IF(M40&lt;=0.75,0.32,IF(M40&lt;=0.9,0.4,IF(M40&lt;=0.95,0.4,0.2))))))</f>
        <v>0</v>
      </c>
      <c r="O31" s="199"/>
      <c r="P31" s="199"/>
      <c r="Q31" s="200"/>
    </row>
    <row r="32" spans="1:17" ht="175" customHeight="1" x14ac:dyDescent="0.2">
      <c r="A32" s="287"/>
      <c r="B32" s="284"/>
      <c r="C32" s="281"/>
      <c r="D32" s="272"/>
      <c r="E32" s="21" t="s">
        <v>59</v>
      </c>
      <c r="F32" s="51" t="s">
        <v>60</v>
      </c>
      <c r="G32" s="25" t="s">
        <v>20</v>
      </c>
      <c r="H32" s="134" t="s">
        <v>198</v>
      </c>
      <c r="I32" s="136">
        <v>0.9</v>
      </c>
      <c r="J32" s="322"/>
      <c r="K32" s="327"/>
      <c r="L32" s="176">
        <v>0</v>
      </c>
      <c r="M32" s="256"/>
      <c r="N32" s="254"/>
      <c r="O32" s="150"/>
      <c r="P32" s="150"/>
      <c r="Q32" s="201"/>
    </row>
    <row r="33" spans="1:17" ht="17" customHeight="1" x14ac:dyDescent="0.2">
      <c r="A33" s="287"/>
      <c r="B33" s="284"/>
      <c r="C33" s="281"/>
      <c r="D33" s="229"/>
      <c r="E33" s="230"/>
      <c r="F33" s="231"/>
      <c r="G33" s="232"/>
      <c r="H33" s="233"/>
      <c r="I33" s="234"/>
      <c r="J33" s="235"/>
      <c r="K33" s="327"/>
      <c r="L33" s="176">
        <f>AVERAGE(L31:L32)</f>
        <v>0</v>
      </c>
      <c r="M33" s="175"/>
      <c r="N33" s="254"/>
      <c r="O33" s="150"/>
      <c r="P33" s="150"/>
      <c r="Q33" s="201"/>
    </row>
    <row r="34" spans="1:17" ht="165" customHeight="1" x14ac:dyDescent="0.2">
      <c r="A34" s="287"/>
      <c r="B34" s="284"/>
      <c r="C34" s="281"/>
      <c r="D34" s="273" t="s">
        <v>62</v>
      </c>
      <c r="E34" s="21" t="s">
        <v>63</v>
      </c>
      <c r="F34" s="51" t="s">
        <v>16</v>
      </c>
      <c r="G34" s="25" t="s">
        <v>67</v>
      </c>
      <c r="H34" s="134" t="s">
        <v>197</v>
      </c>
      <c r="I34" s="136">
        <v>0.3</v>
      </c>
      <c r="J34" s="323">
        <v>0.2</v>
      </c>
      <c r="K34" s="327"/>
      <c r="L34" s="176">
        <v>0</v>
      </c>
      <c r="M34" s="257">
        <f>IF(L37&lt;=0,0,IF(L37&lt;=0.2,0.1,IF(L37&lt;=0.4,0.2,IF(L37&lt;=0.6,0.3,IF(L37&lt;=0.8,0.4,IF(L37&lt;=0.9,0.5,0.2))))))</f>
        <v>0</v>
      </c>
      <c r="N34" s="254"/>
      <c r="O34" s="150"/>
      <c r="P34" s="150"/>
      <c r="Q34" s="201"/>
    </row>
    <row r="35" spans="1:17" ht="174" customHeight="1" x14ac:dyDescent="0.2">
      <c r="A35" s="287"/>
      <c r="B35" s="284"/>
      <c r="C35" s="281"/>
      <c r="D35" s="262"/>
      <c r="E35" s="21" t="s">
        <v>64</v>
      </c>
      <c r="F35" s="51" t="s">
        <v>28</v>
      </c>
      <c r="G35" s="25" t="s">
        <v>68</v>
      </c>
      <c r="H35" s="134" t="s">
        <v>196</v>
      </c>
      <c r="I35" s="136">
        <v>0.4</v>
      </c>
      <c r="J35" s="324"/>
      <c r="K35" s="327"/>
      <c r="L35" s="176">
        <v>0</v>
      </c>
      <c r="M35" s="254"/>
      <c r="N35" s="254"/>
      <c r="O35" s="150"/>
      <c r="P35" s="150"/>
      <c r="Q35" s="201"/>
    </row>
    <row r="36" spans="1:17" ht="156" customHeight="1" x14ac:dyDescent="0.2">
      <c r="A36" s="287"/>
      <c r="B36" s="284"/>
      <c r="C36" s="281"/>
      <c r="D36" s="272"/>
      <c r="E36" s="21" t="s">
        <v>65</v>
      </c>
      <c r="F36" s="51" t="s">
        <v>66</v>
      </c>
      <c r="G36" s="25" t="s">
        <v>61</v>
      </c>
      <c r="H36" s="134" t="s">
        <v>195</v>
      </c>
      <c r="I36" s="136">
        <v>0.3</v>
      </c>
      <c r="J36" s="322"/>
      <c r="K36" s="327"/>
      <c r="L36" s="176">
        <v>0</v>
      </c>
      <c r="M36" s="256"/>
      <c r="N36" s="254"/>
      <c r="O36" s="150"/>
      <c r="P36" s="150"/>
      <c r="Q36" s="201"/>
    </row>
    <row r="37" spans="1:17" ht="22" customHeight="1" x14ac:dyDescent="0.2">
      <c r="A37" s="287"/>
      <c r="B37" s="284"/>
      <c r="C37" s="281"/>
      <c r="D37" s="229"/>
      <c r="E37" s="230"/>
      <c r="F37" s="231"/>
      <c r="G37" s="232"/>
      <c r="H37" s="233"/>
      <c r="I37" s="234"/>
      <c r="J37" s="235"/>
      <c r="K37" s="327"/>
      <c r="L37" s="176">
        <f>AVERAGE(L34:L36)</f>
        <v>0</v>
      </c>
      <c r="M37" s="175"/>
      <c r="N37" s="254"/>
      <c r="O37" s="150"/>
      <c r="P37" s="150"/>
      <c r="Q37" s="201"/>
    </row>
    <row r="38" spans="1:17" ht="178" customHeight="1" x14ac:dyDescent="0.2">
      <c r="A38" s="287"/>
      <c r="B38" s="284"/>
      <c r="C38" s="281"/>
      <c r="D38" s="273" t="s">
        <v>69</v>
      </c>
      <c r="E38" s="21" t="s">
        <v>70</v>
      </c>
      <c r="F38" s="51" t="s">
        <v>16</v>
      </c>
      <c r="G38" s="25" t="s">
        <v>20</v>
      </c>
      <c r="H38" s="134" t="s">
        <v>194</v>
      </c>
      <c r="I38" s="136">
        <v>0.5</v>
      </c>
      <c r="J38" s="323">
        <v>0.6</v>
      </c>
      <c r="K38" s="327"/>
      <c r="L38" s="176">
        <v>0</v>
      </c>
      <c r="M38" s="257">
        <f>IF(L40&lt;=0,0,IF(L40&lt;=0.2,0.1,IF(L40&lt;=0.4,0.2,IF(L40&lt;=0.6,0.3,IF(L40&lt;=0.8,0.4,IF(L40&lt;=0.9,0.5,0.6))))))</f>
        <v>0</v>
      </c>
      <c r="N38" s="254"/>
      <c r="O38" s="150"/>
      <c r="P38" s="150"/>
      <c r="Q38" s="201"/>
    </row>
    <row r="39" spans="1:17" ht="173" customHeight="1" thickBot="1" x14ac:dyDescent="0.25">
      <c r="A39" s="288"/>
      <c r="B39" s="285"/>
      <c r="C39" s="282"/>
      <c r="D39" s="263"/>
      <c r="E39" s="22" t="s">
        <v>71</v>
      </c>
      <c r="F39" s="52" t="s">
        <v>16</v>
      </c>
      <c r="G39" s="40" t="s">
        <v>20</v>
      </c>
      <c r="H39" s="135" t="s">
        <v>193</v>
      </c>
      <c r="I39" s="193">
        <v>0.5</v>
      </c>
      <c r="J39" s="325"/>
      <c r="K39" s="328"/>
      <c r="L39" s="202">
        <v>0</v>
      </c>
      <c r="M39" s="255"/>
      <c r="N39" s="255"/>
      <c r="O39" s="156"/>
      <c r="P39" s="156"/>
      <c r="Q39" s="203"/>
    </row>
    <row r="40" spans="1:17" ht="21" customHeight="1" thickBot="1" x14ac:dyDescent="0.25">
      <c r="A40" s="132"/>
      <c r="B40" s="131"/>
      <c r="C40" s="130"/>
      <c r="D40" s="129"/>
      <c r="E40" s="180"/>
      <c r="F40" s="181"/>
      <c r="G40" s="195"/>
      <c r="H40" s="182"/>
      <c r="I40" s="139"/>
      <c r="J40" s="139"/>
      <c r="K40" s="145"/>
      <c r="L40" s="179">
        <f>AVERAGE(L38:L39)</f>
        <v>0</v>
      </c>
      <c r="M40" s="179">
        <f>SUM(M38,M34,M31)</f>
        <v>0</v>
      </c>
      <c r="N40" s="179"/>
      <c r="O40" s="204"/>
      <c r="P40" s="204"/>
      <c r="Q40" s="204"/>
    </row>
    <row r="41" spans="1:17" ht="176" customHeight="1" x14ac:dyDescent="0.2">
      <c r="A41" s="286" t="s">
        <v>72</v>
      </c>
      <c r="B41" s="283" t="s">
        <v>74</v>
      </c>
      <c r="C41" s="280" t="s">
        <v>73</v>
      </c>
      <c r="D41" s="261" t="s">
        <v>75</v>
      </c>
      <c r="E41" s="26" t="s">
        <v>76</v>
      </c>
      <c r="F41" s="50" t="s">
        <v>78</v>
      </c>
      <c r="G41" s="24" t="s">
        <v>80</v>
      </c>
      <c r="H41" s="133" t="s">
        <v>192</v>
      </c>
      <c r="I41" s="191">
        <v>0.3</v>
      </c>
      <c r="J41" s="321">
        <v>0.4</v>
      </c>
      <c r="K41" s="326">
        <v>0.2</v>
      </c>
      <c r="L41" s="198">
        <v>0</v>
      </c>
      <c r="M41" s="253">
        <f>IF(L43&lt;=0,0,IF(L43&lt;=0.2,0.1,IF(L43&lt;=0.4,0.2,IF(L43&lt;=0.6,0.3,IF(L43&lt;=0.8,0.4,IF(L43&lt;=0.9,0.5,0.4))))))</f>
        <v>0</v>
      </c>
      <c r="N41" s="253">
        <f>IF(M51&lt;=0,0,IF(M51&lt;=0.2,0.08,IF(M51&lt;=0.4,0.16,IF(M51&lt;=0.75,0.32,IF(M51&lt;=0.9,0.4,IF(M51&lt;=0.95,0.4,0.2))))))</f>
        <v>0</v>
      </c>
      <c r="O41" s="258"/>
      <c r="P41" s="199"/>
      <c r="Q41" s="200"/>
    </row>
    <row r="42" spans="1:17" ht="160" customHeight="1" x14ac:dyDescent="0.2">
      <c r="A42" s="287"/>
      <c r="B42" s="284"/>
      <c r="C42" s="281"/>
      <c r="D42" s="272"/>
      <c r="E42" s="21" t="s">
        <v>77</v>
      </c>
      <c r="F42" s="51" t="s">
        <v>79</v>
      </c>
      <c r="G42" s="25" t="s">
        <v>81</v>
      </c>
      <c r="H42" s="134" t="s">
        <v>191</v>
      </c>
      <c r="I42" s="136">
        <v>0.7</v>
      </c>
      <c r="J42" s="322"/>
      <c r="K42" s="327"/>
      <c r="L42" s="176">
        <v>0</v>
      </c>
      <c r="M42" s="256"/>
      <c r="N42" s="254"/>
      <c r="O42" s="259"/>
      <c r="P42" s="150"/>
      <c r="Q42" s="201"/>
    </row>
    <row r="43" spans="1:17" ht="22" customHeight="1" x14ac:dyDescent="0.2">
      <c r="A43" s="287"/>
      <c r="B43" s="284"/>
      <c r="C43" s="281"/>
      <c r="D43" s="236"/>
      <c r="E43" s="230"/>
      <c r="F43" s="231"/>
      <c r="G43" s="232"/>
      <c r="H43" s="233"/>
      <c r="I43" s="234"/>
      <c r="J43" s="237"/>
      <c r="K43" s="327"/>
      <c r="L43" s="176">
        <f>AVERAGE(L41:L42)</f>
        <v>0</v>
      </c>
      <c r="M43" s="175"/>
      <c r="N43" s="254"/>
      <c r="O43" s="259"/>
      <c r="P43" s="150"/>
      <c r="Q43" s="201"/>
    </row>
    <row r="44" spans="1:17" ht="145" customHeight="1" x14ac:dyDescent="0.2">
      <c r="A44" s="287"/>
      <c r="B44" s="284"/>
      <c r="C44" s="281"/>
      <c r="D44" s="20" t="s">
        <v>82</v>
      </c>
      <c r="E44" s="21" t="s">
        <v>83</v>
      </c>
      <c r="F44" s="51" t="s">
        <v>79</v>
      </c>
      <c r="G44" s="25" t="s">
        <v>84</v>
      </c>
      <c r="H44" s="134" t="s">
        <v>190</v>
      </c>
      <c r="I44" s="136">
        <v>1</v>
      </c>
      <c r="J44" s="136">
        <v>0.1</v>
      </c>
      <c r="K44" s="327"/>
      <c r="L44" s="176">
        <v>0</v>
      </c>
      <c r="M44" s="176">
        <f>IF(L44&lt;=0,0,IF(L44&lt;=0.2,0.1,IF(L44&lt;=0.4,0.2,IF(L44&lt;=0.6,0.3,IF(L44&lt;=0.8,0.4,IF(L44&lt;=0.9,0.5,0.1))))))</f>
        <v>0</v>
      </c>
      <c r="N44" s="254"/>
      <c r="O44" s="259"/>
      <c r="P44" s="150"/>
      <c r="Q44" s="201"/>
    </row>
    <row r="45" spans="1:17" ht="203" customHeight="1" x14ac:dyDescent="0.2">
      <c r="A45" s="287"/>
      <c r="B45" s="284"/>
      <c r="C45" s="281"/>
      <c r="D45" s="273" t="s">
        <v>85</v>
      </c>
      <c r="E45" s="21" t="s">
        <v>86</v>
      </c>
      <c r="F45" s="51" t="s">
        <v>16</v>
      </c>
      <c r="G45" s="25" t="s">
        <v>80</v>
      </c>
      <c r="H45" s="134" t="s">
        <v>189</v>
      </c>
      <c r="I45" s="136">
        <v>0.2</v>
      </c>
      <c r="J45" s="323">
        <v>0.3</v>
      </c>
      <c r="K45" s="327"/>
      <c r="L45" s="176">
        <v>0</v>
      </c>
      <c r="M45" s="257">
        <f>IF(L48&lt;=0,0,IF(L48&lt;=0.2,0.1,IF(L48&lt;=0.4,0.2,IF(L48&lt;=0.6,0.3,IF(L48&lt;=0.8,0.4,IF(L48&lt;=0.9,0.5,0.3))))))</f>
        <v>0</v>
      </c>
      <c r="N45" s="254"/>
      <c r="O45" s="259"/>
      <c r="P45" s="150"/>
      <c r="Q45" s="201"/>
    </row>
    <row r="46" spans="1:17" ht="145" customHeight="1" x14ac:dyDescent="0.2">
      <c r="A46" s="287"/>
      <c r="B46" s="284"/>
      <c r="C46" s="281"/>
      <c r="D46" s="262"/>
      <c r="E46" s="21" t="s">
        <v>87</v>
      </c>
      <c r="F46" s="51" t="s">
        <v>79</v>
      </c>
      <c r="G46" s="25" t="s">
        <v>84</v>
      </c>
      <c r="H46" s="134" t="s">
        <v>188</v>
      </c>
      <c r="I46" s="136">
        <v>0.2</v>
      </c>
      <c r="J46" s="324"/>
      <c r="K46" s="327"/>
      <c r="L46" s="176">
        <v>0</v>
      </c>
      <c r="M46" s="254"/>
      <c r="N46" s="254"/>
      <c r="O46" s="259"/>
      <c r="P46" s="150"/>
      <c r="Q46" s="201"/>
    </row>
    <row r="47" spans="1:17" ht="205" customHeight="1" x14ac:dyDescent="0.2">
      <c r="A47" s="287"/>
      <c r="B47" s="284"/>
      <c r="C47" s="281"/>
      <c r="D47" s="272"/>
      <c r="E47" s="21" t="s">
        <v>88</v>
      </c>
      <c r="F47" s="51" t="s">
        <v>92</v>
      </c>
      <c r="G47" s="25" t="s">
        <v>89</v>
      </c>
      <c r="H47" s="134" t="s">
        <v>187</v>
      </c>
      <c r="I47" s="136">
        <v>0.6</v>
      </c>
      <c r="J47" s="322"/>
      <c r="K47" s="327"/>
      <c r="L47" s="176">
        <v>0</v>
      </c>
      <c r="M47" s="256"/>
      <c r="N47" s="254"/>
      <c r="O47" s="259"/>
      <c r="P47" s="150"/>
      <c r="Q47" s="201"/>
    </row>
    <row r="48" spans="1:17" ht="18" customHeight="1" x14ac:dyDescent="0.2">
      <c r="A48" s="287"/>
      <c r="B48" s="284"/>
      <c r="C48" s="281"/>
      <c r="D48" s="236"/>
      <c r="E48" s="230"/>
      <c r="F48" s="231"/>
      <c r="G48" s="232"/>
      <c r="H48" s="233"/>
      <c r="I48" s="234"/>
      <c r="J48" s="237"/>
      <c r="K48" s="327"/>
      <c r="L48" s="176">
        <f>AVERAGE(L45:L47)</f>
        <v>0</v>
      </c>
      <c r="M48" s="175"/>
      <c r="N48" s="254"/>
      <c r="O48" s="259"/>
      <c r="P48" s="150"/>
      <c r="Q48" s="201"/>
    </row>
    <row r="49" spans="1:62" ht="159" customHeight="1" x14ac:dyDescent="0.2">
      <c r="A49" s="287"/>
      <c r="B49" s="284"/>
      <c r="C49" s="281"/>
      <c r="D49" s="20" t="s">
        <v>90</v>
      </c>
      <c r="E49" s="21" t="s">
        <v>91</v>
      </c>
      <c r="F49" s="51" t="s">
        <v>16</v>
      </c>
      <c r="G49" s="25" t="s">
        <v>80</v>
      </c>
      <c r="H49" s="134" t="s">
        <v>185</v>
      </c>
      <c r="I49" s="136">
        <v>1</v>
      </c>
      <c r="J49" s="323">
        <v>0.1</v>
      </c>
      <c r="K49" s="327"/>
      <c r="L49" s="176">
        <v>0</v>
      </c>
      <c r="M49" s="257">
        <f>IF(L51&lt;=0,0,IF(L51&lt;=0.2,0.1,IF(L51&lt;=0.4,0.2,IF(L51&lt;=0.6,0.3,IF(L51&lt;=0.8,0.4,IF(L51&lt;=0.9,0.5,0.1))))))</f>
        <v>0</v>
      </c>
      <c r="N49" s="254"/>
      <c r="O49" s="259"/>
      <c r="P49" s="150"/>
      <c r="Q49" s="201"/>
    </row>
    <row r="50" spans="1:62" ht="186" customHeight="1" thickBot="1" x14ac:dyDescent="0.25">
      <c r="A50" s="288"/>
      <c r="B50" s="285"/>
      <c r="C50" s="282"/>
      <c r="D50" s="171" t="s">
        <v>93</v>
      </c>
      <c r="E50" s="27" t="s">
        <v>94</v>
      </c>
      <c r="F50" s="54" t="s">
        <v>28</v>
      </c>
      <c r="G50" s="23" t="s">
        <v>80</v>
      </c>
      <c r="H50" s="140" t="s">
        <v>186</v>
      </c>
      <c r="I50" s="137">
        <v>1</v>
      </c>
      <c r="J50" s="389"/>
      <c r="K50" s="328"/>
      <c r="L50" s="178">
        <v>0</v>
      </c>
      <c r="M50" s="388"/>
      <c r="N50" s="255"/>
      <c r="O50" s="260"/>
      <c r="P50" s="189"/>
      <c r="Q50" s="377"/>
    </row>
    <row r="51" spans="1:62" s="4" customFormat="1" ht="17" customHeight="1" x14ac:dyDescent="0.2">
      <c r="A51" s="378"/>
      <c r="B51" s="379"/>
      <c r="C51" s="380"/>
      <c r="D51" s="384"/>
      <c r="E51" s="385"/>
      <c r="F51" s="386"/>
      <c r="G51" s="384"/>
      <c r="H51" s="386"/>
      <c r="I51" s="387"/>
      <c r="J51" s="387"/>
      <c r="K51" s="381"/>
      <c r="L51" s="382">
        <f>AVERAGE(L49:L50)</f>
        <v>0</v>
      </c>
      <c r="M51" s="382">
        <f>SUM(M49,M45,M44,M41)</f>
        <v>0</v>
      </c>
      <c r="N51" s="382"/>
      <c r="O51" s="383"/>
    </row>
    <row r="52" spans="1:62" ht="159" customHeight="1" x14ac:dyDescent="0.2">
      <c r="A52" s="309" t="s">
        <v>95</v>
      </c>
      <c r="B52" s="306" t="s">
        <v>96</v>
      </c>
      <c r="C52" s="272" t="s">
        <v>97</v>
      </c>
      <c r="D52" s="304" t="s">
        <v>98</v>
      </c>
      <c r="E52" s="70" t="s">
        <v>99</v>
      </c>
      <c r="F52" s="196" t="s">
        <v>28</v>
      </c>
      <c r="G52" s="197" t="s">
        <v>101</v>
      </c>
      <c r="H52" s="182" t="s">
        <v>184</v>
      </c>
      <c r="I52" s="138">
        <v>0.5</v>
      </c>
      <c r="J52" s="324">
        <v>0.2</v>
      </c>
      <c r="K52" s="327">
        <v>0.1</v>
      </c>
      <c r="L52" s="175">
        <v>0</v>
      </c>
      <c r="M52" s="254">
        <f>IF(L54&lt;=0,0,IF(L54&lt;=0.2,0.1,IF(L54&lt;=0.4,0.2,IF(L54&lt;=0.6,0.3,IF(L54&lt;=0.8,0.4,IF(L54&lt;=0.9,0.5,0.2))))))</f>
        <v>0</v>
      </c>
      <c r="N52" s="254">
        <f>IF(M71&lt;=0,0,IF(M71&lt;=0.2,0.08,IF(M71&lt;=0.4,0.16,IF(M71&lt;=0.75,0.32,IF(M71&lt;=0.9,0.4,IF(M71&lt;=0.95,0.4,0.1))))))</f>
        <v>0</v>
      </c>
      <c r="O52" s="155"/>
      <c r="P52" s="155"/>
      <c r="Q52" s="155"/>
    </row>
    <row r="53" spans="1:62" ht="177" customHeight="1" x14ac:dyDescent="0.2">
      <c r="A53" s="310"/>
      <c r="B53" s="307"/>
      <c r="C53" s="276"/>
      <c r="D53" s="305"/>
      <c r="E53" s="21" t="s">
        <v>100</v>
      </c>
      <c r="F53" s="51" t="s">
        <v>28</v>
      </c>
      <c r="G53" s="25" t="s">
        <v>102</v>
      </c>
      <c r="H53" s="134" t="s">
        <v>183</v>
      </c>
      <c r="I53" s="136">
        <v>0.5</v>
      </c>
      <c r="J53" s="322"/>
      <c r="K53" s="327"/>
      <c r="L53" s="176">
        <v>0</v>
      </c>
      <c r="M53" s="256"/>
      <c r="N53" s="254"/>
      <c r="O53" s="150"/>
      <c r="P53" s="150"/>
      <c r="Q53" s="150"/>
    </row>
    <row r="54" spans="1:62" ht="18" customHeight="1" x14ac:dyDescent="0.2">
      <c r="A54" s="310"/>
      <c r="B54" s="307"/>
      <c r="C54" s="276"/>
      <c r="D54" s="238"/>
      <c r="E54" s="230"/>
      <c r="F54" s="231"/>
      <c r="G54" s="232"/>
      <c r="H54" s="233"/>
      <c r="I54" s="234"/>
      <c r="J54" s="237"/>
      <c r="K54" s="327"/>
      <c r="L54" s="176">
        <f>AVERAGE(L52:L53)</f>
        <v>0</v>
      </c>
      <c r="M54" s="175"/>
      <c r="N54" s="254"/>
      <c r="O54" s="150"/>
      <c r="P54" s="150"/>
      <c r="Q54" s="150"/>
    </row>
    <row r="55" spans="1:62" ht="177" customHeight="1" x14ac:dyDescent="0.2">
      <c r="A55" s="310"/>
      <c r="B55" s="307"/>
      <c r="C55" s="276"/>
      <c r="D55" s="36" t="s">
        <v>103</v>
      </c>
      <c r="E55" s="21" t="s">
        <v>104</v>
      </c>
      <c r="F55" s="51" t="s">
        <v>60</v>
      </c>
      <c r="G55" s="25" t="s">
        <v>20</v>
      </c>
      <c r="H55" s="134" t="s">
        <v>182</v>
      </c>
      <c r="I55" s="136">
        <v>1</v>
      </c>
      <c r="J55" s="136">
        <v>0.1</v>
      </c>
      <c r="K55" s="327"/>
      <c r="L55" s="176">
        <v>0</v>
      </c>
      <c r="M55" s="176">
        <f>IF(L55&lt;=0,0,IF(L55&lt;=0.2,0.1,IF(L55&lt;=0.4,0.2,IF(L55&lt;=0.6,0.3,IF(L55&lt;=0.8,0.4,IF(L55&lt;=0.9,0.5,0.1))))))</f>
        <v>0</v>
      </c>
      <c r="N55" s="254"/>
      <c r="O55" s="150"/>
      <c r="P55" s="150"/>
      <c r="Q55" s="150"/>
    </row>
    <row r="56" spans="1:62" ht="178" customHeight="1" x14ac:dyDescent="0.2">
      <c r="A56" s="310"/>
      <c r="B56" s="307"/>
      <c r="C56" s="276"/>
      <c r="D56" s="312" t="s">
        <v>105</v>
      </c>
      <c r="E56" s="21" t="s">
        <v>106</v>
      </c>
      <c r="F56" s="51" t="s">
        <v>16</v>
      </c>
      <c r="G56" s="25" t="s">
        <v>67</v>
      </c>
      <c r="H56" s="134" t="s">
        <v>181</v>
      </c>
      <c r="I56" s="136">
        <v>0.2</v>
      </c>
      <c r="J56" s="323">
        <v>0.3</v>
      </c>
      <c r="K56" s="327"/>
      <c r="L56" s="176">
        <v>0</v>
      </c>
      <c r="M56" s="257">
        <f>IF(L60&lt;=0,0,IF(L60&lt;=0.2,0.1,IF(L60&lt;=0.4,0.2,IF(L60&lt;=0.6,0.3,IF(L60&lt;=0.8,0.4,IF(L60&lt;=0.9,0.5,0.3))))))</f>
        <v>0</v>
      </c>
      <c r="N56" s="254"/>
      <c r="O56" s="150"/>
      <c r="P56" s="150"/>
      <c r="Q56" s="150"/>
    </row>
    <row r="57" spans="1:62" ht="175" customHeight="1" x14ac:dyDescent="0.2">
      <c r="A57" s="310"/>
      <c r="B57" s="307"/>
      <c r="C57" s="276"/>
      <c r="D57" s="313"/>
      <c r="E57" s="21" t="s">
        <v>107</v>
      </c>
      <c r="F57" s="51" t="s">
        <v>16</v>
      </c>
      <c r="G57" s="25" t="s">
        <v>110</v>
      </c>
      <c r="H57" s="134" t="s">
        <v>180</v>
      </c>
      <c r="I57" s="136">
        <v>0.2</v>
      </c>
      <c r="J57" s="324"/>
      <c r="K57" s="327"/>
      <c r="L57" s="176">
        <v>0</v>
      </c>
      <c r="M57" s="254"/>
      <c r="N57" s="254"/>
      <c r="O57" s="150"/>
      <c r="P57" s="150"/>
      <c r="Q57" s="150"/>
    </row>
    <row r="58" spans="1:62" ht="121" customHeight="1" x14ac:dyDescent="0.2">
      <c r="A58" s="310"/>
      <c r="B58" s="307"/>
      <c r="C58" s="276"/>
      <c r="D58" s="313"/>
      <c r="E58" s="21" t="s">
        <v>108</v>
      </c>
      <c r="F58" s="51" t="s">
        <v>60</v>
      </c>
      <c r="G58" s="25" t="s">
        <v>102</v>
      </c>
      <c r="H58" s="134" t="s">
        <v>179</v>
      </c>
      <c r="I58" s="136">
        <v>0.2</v>
      </c>
      <c r="J58" s="324"/>
      <c r="K58" s="327"/>
      <c r="L58" s="176">
        <v>0</v>
      </c>
      <c r="M58" s="254"/>
      <c r="N58" s="254"/>
      <c r="O58" s="150"/>
      <c r="P58" s="150"/>
      <c r="Q58" s="150"/>
    </row>
    <row r="59" spans="1:62" ht="134" customHeight="1" x14ac:dyDescent="0.2">
      <c r="A59" s="310"/>
      <c r="B59" s="307"/>
      <c r="C59" s="276"/>
      <c r="D59" s="314"/>
      <c r="E59" s="21" t="s">
        <v>109</v>
      </c>
      <c r="F59" s="51" t="s">
        <v>16</v>
      </c>
      <c r="G59" s="25" t="s">
        <v>111</v>
      </c>
      <c r="H59" s="134" t="s">
        <v>178</v>
      </c>
      <c r="I59" s="136">
        <v>0.4</v>
      </c>
      <c r="J59" s="322"/>
      <c r="K59" s="327"/>
      <c r="L59" s="176">
        <v>0</v>
      </c>
      <c r="M59" s="256"/>
      <c r="N59" s="254"/>
      <c r="O59" s="150"/>
      <c r="P59" s="150"/>
      <c r="Q59" s="150"/>
    </row>
    <row r="60" spans="1:62" ht="20" customHeight="1" x14ac:dyDescent="0.2">
      <c r="A60" s="310"/>
      <c r="B60" s="307"/>
      <c r="C60" s="276"/>
      <c r="D60" s="239"/>
      <c r="E60" s="230"/>
      <c r="F60" s="231"/>
      <c r="G60" s="232"/>
      <c r="H60" s="233"/>
      <c r="I60" s="234"/>
      <c r="J60" s="235"/>
      <c r="K60" s="327"/>
      <c r="L60" s="176">
        <f>AVERAGE(L56:L59)</f>
        <v>0</v>
      </c>
      <c r="M60" s="175"/>
      <c r="N60" s="254"/>
      <c r="O60" s="150"/>
      <c r="P60" s="150"/>
      <c r="Q60" s="150"/>
    </row>
    <row r="61" spans="1:62" s="4" customFormat="1" ht="135" x14ac:dyDescent="0.2">
      <c r="A61" s="310"/>
      <c r="B61" s="307"/>
      <c r="C61" s="276"/>
      <c r="D61" s="312" t="s">
        <v>112</v>
      </c>
      <c r="E61" s="21" t="s">
        <v>113</v>
      </c>
      <c r="F61" s="51" t="s">
        <v>60</v>
      </c>
      <c r="G61" s="25" t="s">
        <v>102</v>
      </c>
      <c r="H61" s="134" t="s">
        <v>177</v>
      </c>
      <c r="I61" s="136">
        <v>0.3</v>
      </c>
      <c r="J61" s="323">
        <v>0.2</v>
      </c>
      <c r="K61" s="327"/>
      <c r="L61" s="176">
        <v>0</v>
      </c>
      <c r="M61" s="257">
        <f>IF(L64&lt;=0,0,IF(L64&lt;=0.2,0.1,IF(L64&lt;=0.4,0.2,IF(L64&lt;=0.6,0.3,IF(L64&lt;=0.8,0.4,IF(L64&lt;=0.9,0.5,0.2))))))</f>
        <v>0</v>
      </c>
      <c r="N61" s="254"/>
      <c r="O61" s="150"/>
      <c r="P61" s="150"/>
      <c r="Q61" s="150"/>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ht="147" customHeight="1" x14ac:dyDescent="0.2">
      <c r="A62" s="310"/>
      <c r="B62" s="307"/>
      <c r="C62" s="276"/>
      <c r="D62" s="313"/>
      <c r="E62" s="21" t="s">
        <v>114</v>
      </c>
      <c r="F62" s="51" t="s">
        <v>60</v>
      </c>
      <c r="G62" s="25" t="s">
        <v>116</v>
      </c>
      <c r="H62" s="134" t="s">
        <v>176</v>
      </c>
      <c r="I62" s="136">
        <v>0.3</v>
      </c>
      <c r="J62" s="324"/>
      <c r="K62" s="327"/>
      <c r="L62" s="176">
        <v>0</v>
      </c>
      <c r="M62" s="254"/>
      <c r="N62" s="254"/>
      <c r="O62" s="150"/>
      <c r="P62" s="150"/>
      <c r="Q62" s="150"/>
    </row>
    <row r="63" spans="1:62" ht="162" customHeight="1" x14ac:dyDescent="0.2">
      <c r="A63" s="310"/>
      <c r="B63" s="307"/>
      <c r="C63" s="276"/>
      <c r="D63" s="314"/>
      <c r="E63" s="21" t="s">
        <v>115</v>
      </c>
      <c r="F63" s="51" t="s">
        <v>60</v>
      </c>
      <c r="G63" s="25" t="s">
        <v>117</v>
      </c>
      <c r="H63" s="134" t="s">
        <v>175</v>
      </c>
      <c r="I63" s="136">
        <v>0.4</v>
      </c>
      <c r="J63" s="322"/>
      <c r="K63" s="327"/>
      <c r="L63" s="176">
        <v>0</v>
      </c>
      <c r="M63" s="256"/>
      <c r="N63" s="254"/>
      <c r="O63" s="150"/>
      <c r="P63" s="150"/>
      <c r="Q63" s="150"/>
    </row>
    <row r="64" spans="1:62" ht="21" customHeight="1" x14ac:dyDescent="0.2">
      <c r="A64" s="310"/>
      <c r="B64" s="307"/>
      <c r="C64" s="276"/>
      <c r="D64" s="239"/>
      <c r="E64" s="230"/>
      <c r="F64" s="231"/>
      <c r="G64" s="232"/>
      <c r="H64" s="233"/>
      <c r="I64" s="234"/>
      <c r="J64" s="235"/>
      <c r="K64" s="327"/>
      <c r="L64" s="176">
        <f>AVERAGE(L61:L63)</f>
        <v>0</v>
      </c>
      <c r="M64" s="175"/>
      <c r="N64" s="254"/>
      <c r="O64" s="150"/>
      <c r="P64" s="150"/>
      <c r="Q64" s="150"/>
    </row>
    <row r="65" spans="1:62" ht="163" customHeight="1" x14ac:dyDescent="0.2">
      <c r="A65" s="310"/>
      <c r="B65" s="307"/>
      <c r="C65" s="276"/>
      <c r="D65" s="312" t="s">
        <v>118</v>
      </c>
      <c r="E65" s="21" t="s">
        <v>119</v>
      </c>
      <c r="F65" s="51" t="s">
        <v>79</v>
      </c>
      <c r="G65" s="25" t="s">
        <v>67</v>
      </c>
      <c r="H65" s="134" t="s">
        <v>174</v>
      </c>
      <c r="I65" s="136">
        <v>0.5</v>
      </c>
      <c r="J65" s="323">
        <v>0.1</v>
      </c>
      <c r="K65" s="327"/>
      <c r="L65" s="176">
        <v>0</v>
      </c>
      <c r="M65" s="257">
        <f>IF(L67&lt;=0,0,IF(L67&lt;=0.2,0.1,IF(L67&lt;=0.4,0.2,IF(L67&lt;=0.6,0.3,IF(L67&lt;=0.8,0.4,IF(L67&lt;=0.9,0.5,0.1))))))</f>
        <v>0</v>
      </c>
      <c r="N65" s="254"/>
      <c r="O65" s="150"/>
      <c r="P65" s="150"/>
      <c r="Q65" s="150"/>
    </row>
    <row r="66" spans="1:62" ht="159" customHeight="1" x14ac:dyDescent="0.2">
      <c r="A66" s="310"/>
      <c r="B66" s="307"/>
      <c r="C66" s="276"/>
      <c r="D66" s="314"/>
      <c r="E66" s="21" t="s">
        <v>120</v>
      </c>
      <c r="F66" s="51" t="s">
        <v>60</v>
      </c>
      <c r="G66" s="25" t="s">
        <v>110</v>
      </c>
      <c r="H66" s="134" t="s">
        <v>173</v>
      </c>
      <c r="I66" s="136">
        <v>0.5</v>
      </c>
      <c r="J66" s="322"/>
      <c r="K66" s="327"/>
      <c r="L66" s="176">
        <v>0</v>
      </c>
      <c r="M66" s="256"/>
      <c r="N66" s="254"/>
      <c r="O66" s="150"/>
      <c r="P66" s="150"/>
      <c r="Q66" s="150"/>
    </row>
    <row r="67" spans="1:62" ht="21" customHeight="1" x14ac:dyDescent="0.2">
      <c r="A67" s="310"/>
      <c r="B67" s="307"/>
      <c r="C67" s="276"/>
      <c r="D67" s="239"/>
      <c r="E67" s="230"/>
      <c r="F67" s="231"/>
      <c r="G67" s="232"/>
      <c r="H67" s="233"/>
      <c r="I67" s="234"/>
      <c r="J67" s="235"/>
      <c r="K67" s="327"/>
      <c r="L67" s="176">
        <f>AVERAGE(L65:L66)</f>
        <v>0</v>
      </c>
      <c r="M67" s="175"/>
      <c r="N67" s="254"/>
      <c r="O67" s="150"/>
      <c r="P67" s="150"/>
      <c r="Q67" s="150"/>
    </row>
    <row r="68" spans="1:62" ht="132" customHeight="1" x14ac:dyDescent="0.2">
      <c r="A68" s="310"/>
      <c r="B68" s="307"/>
      <c r="C68" s="276"/>
      <c r="D68" s="312" t="s">
        <v>121</v>
      </c>
      <c r="E68" s="21" t="s">
        <v>122</v>
      </c>
      <c r="F68" s="51" t="s">
        <v>79</v>
      </c>
      <c r="G68" s="74" t="s">
        <v>67</v>
      </c>
      <c r="H68" s="134" t="s">
        <v>172</v>
      </c>
      <c r="I68" s="136">
        <v>0.5</v>
      </c>
      <c r="J68" s="323">
        <v>0.1</v>
      </c>
      <c r="K68" s="327"/>
      <c r="L68" s="176">
        <v>0</v>
      </c>
      <c r="M68" s="257">
        <f>IF(L71&lt;=0,0,IF(L71&lt;=0.2,0.1,IF(L71&lt;=0.4,0.2,IF(L71&lt;=0.6,0.3,IF(L71&lt;=0.8,0.4,IF(L71&lt;=0.9,0.5,0.1))))))</f>
        <v>0</v>
      </c>
      <c r="N68" s="254"/>
      <c r="O68" s="150"/>
      <c r="P68" s="150"/>
      <c r="Q68" s="150"/>
    </row>
    <row r="69" spans="1:62" ht="161" customHeight="1" x14ac:dyDescent="0.2">
      <c r="A69" s="310"/>
      <c r="B69" s="307"/>
      <c r="C69" s="276"/>
      <c r="D69" s="313"/>
      <c r="E69" s="21" t="s">
        <v>123</v>
      </c>
      <c r="F69" s="51" t="s">
        <v>60</v>
      </c>
      <c r="G69" s="74" t="s">
        <v>67</v>
      </c>
      <c r="H69" s="134" t="s">
        <v>171</v>
      </c>
      <c r="I69" s="136">
        <v>0.3</v>
      </c>
      <c r="J69" s="324"/>
      <c r="K69" s="327"/>
      <c r="L69" s="176">
        <v>0</v>
      </c>
      <c r="M69" s="254"/>
      <c r="N69" s="254"/>
      <c r="O69" s="150"/>
      <c r="P69" s="150"/>
      <c r="Q69" s="150"/>
    </row>
    <row r="70" spans="1:62" ht="159" customHeight="1" thickBot="1" x14ac:dyDescent="0.25">
      <c r="A70" s="311"/>
      <c r="B70" s="308"/>
      <c r="C70" s="273"/>
      <c r="D70" s="313"/>
      <c r="E70" s="27" t="s">
        <v>124</v>
      </c>
      <c r="F70" s="54" t="s">
        <v>60</v>
      </c>
      <c r="G70" s="173" t="s">
        <v>20</v>
      </c>
      <c r="H70" s="140" t="s">
        <v>170</v>
      </c>
      <c r="I70" s="136">
        <v>0.2</v>
      </c>
      <c r="J70" s="322"/>
      <c r="K70" s="327"/>
      <c r="L70" s="176">
        <v>0</v>
      </c>
      <c r="M70" s="256"/>
      <c r="N70" s="256"/>
      <c r="O70" s="150"/>
      <c r="P70" s="150"/>
      <c r="Q70" s="150"/>
    </row>
    <row r="71" spans="1:62" ht="27" customHeight="1" thickBot="1" x14ac:dyDescent="0.25">
      <c r="A71" s="132"/>
      <c r="B71" s="183"/>
      <c r="C71" s="184"/>
      <c r="D71" s="184"/>
      <c r="E71" s="185"/>
      <c r="F71" s="186"/>
      <c r="G71" s="187"/>
      <c r="H71" s="182"/>
      <c r="I71" s="137"/>
      <c r="J71" s="145"/>
      <c r="K71" s="145"/>
      <c r="L71" s="188">
        <f>AVERAGE(L68:L70)</f>
        <v>0</v>
      </c>
      <c r="M71" s="179">
        <f>SUM(M68,M65,M61,M56,M55,M52)</f>
        <v>0</v>
      </c>
      <c r="N71" s="178"/>
      <c r="O71" s="150"/>
      <c r="P71" s="150"/>
      <c r="Q71" s="150"/>
    </row>
    <row r="72" spans="1:62" ht="149" customHeight="1" x14ac:dyDescent="0.2">
      <c r="A72" s="264" t="s">
        <v>125</v>
      </c>
      <c r="B72" s="261" t="s">
        <v>127</v>
      </c>
      <c r="C72" s="267" t="s">
        <v>126</v>
      </c>
      <c r="D72" s="274" t="s">
        <v>128</v>
      </c>
      <c r="E72" s="37" t="s">
        <v>129</v>
      </c>
      <c r="F72" s="53" t="s">
        <v>16</v>
      </c>
      <c r="G72" s="81" t="s">
        <v>20</v>
      </c>
      <c r="H72" s="141" t="s">
        <v>169</v>
      </c>
      <c r="I72" s="191">
        <v>0.6</v>
      </c>
      <c r="J72" s="326">
        <v>0.1</v>
      </c>
      <c r="K72" s="331">
        <v>0.1</v>
      </c>
      <c r="L72" s="192">
        <v>0</v>
      </c>
      <c r="M72" s="253">
        <f>IF(L74&lt;=0,0,IF(L74&lt;=0.2,0.1,IF(L74&lt;=0.4,0.2,IF(L74&lt;=0.6,0.3,IF(L74&lt;=0.8,0.4,IF(L74&lt;=0.9,0.5,0.1))))))</f>
        <v>0</v>
      </c>
      <c r="N72" s="250">
        <f>IF(M89&lt;=0,0,IF(M89&lt;=0.2,0.08,IF(M89&lt;=0.4,0.16,IF(M89&lt;=0.75,0.32,IF(M89&lt;=0.9,0.4,IF(M89&lt;=0.95,0.4,0.1))))))</f>
        <v>0</v>
      </c>
      <c r="O72" s="172"/>
      <c r="P72" s="150"/>
      <c r="Q72" s="150"/>
    </row>
    <row r="73" spans="1:62" ht="60" x14ac:dyDescent="0.2">
      <c r="A73" s="265"/>
      <c r="B73" s="262"/>
      <c r="C73" s="268"/>
      <c r="D73" s="275"/>
      <c r="E73" s="28" t="s">
        <v>130</v>
      </c>
      <c r="F73" s="55" t="s">
        <v>16</v>
      </c>
      <c r="G73" s="82" t="s">
        <v>20</v>
      </c>
      <c r="H73" s="142" t="s">
        <v>168</v>
      </c>
      <c r="I73" s="136">
        <v>0.4</v>
      </c>
      <c r="J73" s="329"/>
      <c r="K73" s="332"/>
      <c r="L73" s="177">
        <v>0</v>
      </c>
      <c r="M73" s="256"/>
      <c r="N73" s="251"/>
      <c r="O73" s="172"/>
      <c r="P73" s="150"/>
      <c r="Q73" s="150"/>
    </row>
    <row r="74" spans="1:62" x14ac:dyDescent="0.2">
      <c r="A74" s="265"/>
      <c r="B74" s="262"/>
      <c r="C74" s="268"/>
      <c r="D74" s="246"/>
      <c r="E74" s="247"/>
      <c r="F74" s="248"/>
      <c r="G74" s="249"/>
      <c r="H74" s="233"/>
      <c r="I74" s="234"/>
      <c r="J74" s="245"/>
      <c r="K74" s="332"/>
      <c r="L74" s="177">
        <f>AVERAGE(L72:L73)</f>
        <v>0</v>
      </c>
      <c r="M74" s="175"/>
      <c r="N74" s="251"/>
      <c r="O74" s="172"/>
      <c r="P74" s="150"/>
      <c r="Q74" s="150"/>
    </row>
    <row r="75" spans="1:62" ht="102" customHeight="1" x14ac:dyDescent="0.2">
      <c r="A75" s="265"/>
      <c r="B75" s="262"/>
      <c r="C75" s="268"/>
      <c r="D75" s="276" t="s">
        <v>131</v>
      </c>
      <c r="E75" s="29" t="s">
        <v>132</v>
      </c>
      <c r="F75" s="51" t="s">
        <v>92</v>
      </c>
      <c r="G75" s="25" t="s">
        <v>138</v>
      </c>
      <c r="H75" s="142" t="s">
        <v>167</v>
      </c>
      <c r="I75" s="136">
        <v>0.1</v>
      </c>
      <c r="J75" s="330">
        <v>0.2</v>
      </c>
      <c r="K75" s="332"/>
      <c r="L75" s="177">
        <v>0</v>
      </c>
      <c r="M75" s="257">
        <f>IF(L81&lt;=0,0,IF(L81&lt;=0.2,0.1,IF(L81&lt;=0.4,0.2,IF(L81&lt;=0.6,0.3,IF(L81&lt;=0.8,0.4,IF(L81&lt;=0.9,0.5,0.2))))))</f>
        <v>0</v>
      </c>
      <c r="N75" s="251"/>
      <c r="O75" s="172"/>
      <c r="P75" s="150"/>
      <c r="Q75" s="150"/>
    </row>
    <row r="76" spans="1:62" ht="142" customHeight="1" x14ac:dyDescent="0.2">
      <c r="A76" s="265"/>
      <c r="B76" s="262"/>
      <c r="C76" s="268"/>
      <c r="D76" s="276"/>
      <c r="E76" s="29" t="s">
        <v>133</v>
      </c>
      <c r="F76" s="51" t="s">
        <v>16</v>
      </c>
      <c r="G76" s="25" t="s">
        <v>139</v>
      </c>
      <c r="H76" s="142" t="s">
        <v>166</v>
      </c>
      <c r="I76" s="136">
        <v>0.1</v>
      </c>
      <c r="J76" s="327"/>
      <c r="K76" s="332"/>
      <c r="L76" s="177">
        <v>0</v>
      </c>
      <c r="M76" s="254"/>
      <c r="N76" s="251"/>
      <c r="O76" s="172"/>
      <c r="P76" s="150"/>
      <c r="Q76" s="150"/>
    </row>
    <row r="77" spans="1:62" ht="135" x14ac:dyDescent="0.2">
      <c r="A77" s="265"/>
      <c r="B77" s="262"/>
      <c r="C77" s="268"/>
      <c r="D77" s="276"/>
      <c r="E77" s="29" t="s">
        <v>134</v>
      </c>
      <c r="F77" s="51" t="s">
        <v>92</v>
      </c>
      <c r="G77" s="25" t="s">
        <v>140</v>
      </c>
      <c r="H77" s="142" t="s">
        <v>165</v>
      </c>
      <c r="I77" s="136">
        <v>0.1</v>
      </c>
      <c r="J77" s="327"/>
      <c r="K77" s="332"/>
      <c r="L77" s="177">
        <v>0</v>
      </c>
      <c r="M77" s="254"/>
      <c r="N77" s="251"/>
      <c r="O77" s="172"/>
      <c r="P77" s="150"/>
      <c r="Q77" s="150"/>
    </row>
    <row r="78" spans="1:62" ht="118" customHeight="1" x14ac:dyDescent="0.2">
      <c r="A78" s="265"/>
      <c r="B78" s="262"/>
      <c r="C78" s="268"/>
      <c r="D78" s="276"/>
      <c r="E78" s="29" t="s">
        <v>135</v>
      </c>
      <c r="F78" s="56" t="s">
        <v>92</v>
      </c>
      <c r="G78" s="25" t="s">
        <v>141</v>
      </c>
      <c r="H78" s="142" t="s">
        <v>164</v>
      </c>
      <c r="I78" s="136">
        <v>0.1</v>
      </c>
      <c r="J78" s="327"/>
      <c r="K78" s="332"/>
      <c r="L78" s="177">
        <v>0</v>
      </c>
      <c r="M78" s="254"/>
      <c r="N78" s="251"/>
      <c r="O78" s="172"/>
      <c r="P78" s="150"/>
      <c r="Q78" s="150"/>
    </row>
    <row r="79" spans="1:62" ht="116" customHeight="1" x14ac:dyDescent="0.2">
      <c r="A79" s="265"/>
      <c r="B79" s="262"/>
      <c r="C79" s="268"/>
      <c r="D79" s="276"/>
      <c r="E79" s="29" t="s">
        <v>136</v>
      </c>
      <c r="F79" s="57" t="s">
        <v>92</v>
      </c>
      <c r="G79" s="25" t="s">
        <v>20</v>
      </c>
      <c r="H79" s="142" t="s">
        <v>163</v>
      </c>
      <c r="I79" s="136">
        <v>0.3</v>
      </c>
      <c r="J79" s="327"/>
      <c r="K79" s="332"/>
      <c r="L79" s="177">
        <v>0</v>
      </c>
      <c r="M79" s="254"/>
      <c r="N79" s="251"/>
      <c r="O79" s="172"/>
      <c r="P79" s="150"/>
      <c r="Q79" s="150"/>
    </row>
    <row r="80" spans="1:62" s="4" customFormat="1" ht="117" customHeight="1" x14ac:dyDescent="0.2">
      <c r="A80" s="265"/>
      <c r="B80" s="262"/>
      <c r="C80" s="268"/>
      <c r="D80" s="276"/>
      <c r="E80" s="29" t="s">
        <v>137</v>
      </c>
      <c r="F80" s="57" t="s">
        <v>92</v>
      </c>
      <c r="G80" s="25" t="s">
        <v>153</v>
      </c>
      <c r="H80" s="142" t="s">
        <v>162</v>
      </c>
      <c r="I80" s="136">
        <v>0.3</v>
      </c>
      <c r="J80" s="329"/>
      <c r="K80" s="332"/>
      <c r="L80" s="177">
        <v>0</v>
      </c>
      <c r="M80" s="256"/>
      <c r="N80" s="251"/>
      <c r="O80" s="172"/>
      <c r="P80" s="150"/>
      <c r="Q80" s="150"/>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spans="1:62" s="4" customFormat="1" ht="16" customHeight="1" x14ac:dyDescent="0.2">
      <c r="A81" s="265"/>
      <c r="B81" s="262"/>
      <c r="C81" s="268"/>
      <c r="D81" s="240"/>
      <c r="E81" s="230"/>
      <c r="F81" s="241"/>
      <c r="G81" s="232"/>
      <c r="H81" s="233"/>
      <c r="I81" s="234"/>
      <c r="J81" s="245"/>
      <c r="K81" s="332"/>
      <c r="L81" s="177">
        <f>AVERAGE(L75:L80)</f>
        <v>0</v>
      </c>
      <c r="M81" s="175"/>
      <c r="N81" s="251"/>
      <c r="O81" s="172"/>
      <c r="P81" s="150"/>
      <c r="Q81" s="150"/>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spans="1:62" s="4" customFormat="1" ht="135" x14ac:dyDescent="0.2">
      <c r="A82" s="265"/>
      <c r="B82" s="262"/>
      <c r="C82" s="268"/>
      <c r="D82" s="276" t="s">
        <v>142</v>
      </c>
      <c r="E82" s="29" t="s">
        <v>143</v>
      </c>
      <c r="F82" s="57" t="s">
        <v>16</v>
      </c>
      <c r="G82" s="25" t="s">
        <v>110</v>
      </c>
      <c r="H82" s="142" t="s">
        <v>161</v>
      </c>
      <c r="I82" s="136">
        <v>0.5</v>
      </c>
      <c r="J82" s="330">
        <v>0.3</v>
      </c>
      <c r="K82" s="332"/>
      <c r="L82" s="177">
        <v>0</v>
      </c>
      <c r="M82" s="257">
        <f>IF(L85&lt;=0,0,IF(L85&lt;=0.2,0.1,IF(L85&lt;=0.4,0.2,IF(L85&lt;=0.6,0.3,IF(L85&lt;=0.8,0.4,IF(L85&lt;=0.9,0.5,0.3))))))</f>
        <v>0</v>
      </c>
      <c r="N82" s="251"/>
      <c r="O82" s="172"/>
      <c r="P82" s="150"/>
      <c r="Q82" s="150"/>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spans="1:62" s="4" customFormat="1" ht="120" x14ac:dyDescent="0.2">
      <c r="A83" s="265"/>
      <c r="B83" s="262"/>
      <c r="C83" s="268"/>
      <c r="D83" s="276"/>
      <c r="E83" s="29" t="s">
        <v>144</v>
      </c>
      <c r="F83" s="57" t="s">
        <v>16</v>
      </c>
      <c r="G83" s="39" t="s">
        <v>146</v>
      </c>
      <c r="H83" s="143" t="s">
        <v>160</v>
      </c>
      <c r="I83" s="136">
        <v>0.25</v>
      </c>
      <c r="J83" s="327"/>
      <c r="K83" s="332"/>
      <c r="L83" s="177">
        <v>0</v>
      </c>
      <c r="M83" s="254"/>
      <c r="N83" s="251"/>
      <c r="O83" s="172"/>
      <c r="P83" s="150"/>
      <c r="Q83" s="150"/>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spans="1:62" s="4" customFormat="1" ht="129" customHeight="1" x14ac:dyDescent="0.2">
      <c r="A84" s="265"/>
      <c r="B84" s="262"/>
      <c r="C84" s="268"/>
      <c r="D84" s="276"/>
      <c r="E84" s="29" t="s">
        <v>145</v>
      </c>
      <c r="F84" s="57" t="s">
        <v>16</v>
      </c>
      <c r="G84" s="83" t="s">
        <v>20</v>
      </c>
      <c r="H84" s="143" t="s">
        <v>159</v>
      </c>
      <c r="I84" s="136">
        <v>0.25</v>
      </c>
      <c r="J84" s="329"/>
      <c r="K84" s="332"/>
      <c r="L84" s="177">
        <v>0</v>
      </c>
      <c r="M84" s="256"/>
      <c r="N84" s="251"/>
      <c r="O84" s="172"/>
      <c r="P84" s="150"/>
      <c r="Q84" s="150"/>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spans="1:62" s="4" customFormat="1" ht="22" customHeight="1" x14ac:dyDescent="0.2">
      <c r="A85" s="265"/>
      <c r="B85" s="262"/>
      <c r="C85" s="268"/>
      <c r="D85" s="242"/>
      <c r="E85" s="230"/>
      <c r="F85" s="241"/>
      <c r="G85" s="243"/>
      <c r="H85" s="244"/>
      <c r="I85" s="234"/>
      <c r="J85" s="245"/>
      <c r="K85" s="332"/>
      <c r="L85" s="177">
        <f>AVERAGE(L82:L84)</f>
        <v>0</v>
      </c>
      <c r="M85" s="175"/>
      <c r="N85" s="251"/>
      <c r="O85" s="172"/>
      <c r="P85" s="150"/>
      <c r="Q85" s="150"/>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spans="1:62" s="4" customFormat="1" ht="160" customHeight="1" x14ac:dyDescent="0.2">
      <c r="A86" s="265"/>
      <c r="B86" s="262"/>
      <c r="C86" s="268"/>
      <c r="D86" s="273" t="s">
        <v>147</v>
      </c>
      <c r="E86" s="29" t="s">
        <v>148</v>
      </c>
      <c r="F86" s="57" t="s">
        <v>152</v>
      </c>
      <c r="G86" s="83" t="s">
        <v>20</v>
      </c>
      <c r="H86" s="143" t="s">
        <v>158</v>
      </c>
      <c r="I86" s="136">
        <v>0.3</v>
      </c>
      <c r="J86" s="330">
        <v>0.4</v>
      </c>
      <c r="K86" s="332"/>
      <c r="L86" s="177">
        <v>0</v>
      </c>
      <c r="M86" s="257">
        <f>IF(L89&lt;=0,0,IF(L89&lt;=0.2,0.1,IF(L89&lt;=0.4,0.2,IF(L89&lt;=0.6,0.3,IF(L89&lt;=0.8,0.4,IF(L89&lt;=0.9,0.5,0.4))))))</f>
        <v>0</v>
      </c>
      <c r="N86" s="251"/>
      <c r="O86" s="172"/>
      <c r="P86" s="150"/>
      <c r="Q86" s="150"/>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spans="1:62" s="4" customFormat="1" ht="159" customHeight="1" x14ac:dyDescent="0.2">
      <c r="A87" s="265"/>
      <c r="B87" s="262"/>
      <c r="C87" s="268"/>
      <c r="D87" s="262"/>
      <c r="E87" s="29" t="s">
        <v>149</v>
      </c>
      <c r="F87" s="57" t="s">
        <v>16</v>
      </c>
      <c r="G87" s="83" t="s">
        <v>20</v>
      </c>
      <c r="H87" s="143" t="s">
        <v>157</v>
      </c>
      <c r="I87" s="136">
        <v>0.3</v>
      </c>
      <c r="J87" s="327"/>
      <c r="K87" s="332"/>
      <c r="L87" s="188">
        <v>0</v>
      </c>
      <c r="M87" s="254"/>
      <c r="N87" s="251"/>
      <c r="O87" s="190"/>
      <c r="P87" s="189"/>
      <c r="Q87" s="189"/>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spans="1:62" s="4" customFormat="1" ht="131" customHeight="1" thickBot="1" x14ac:dyDescent="0.25">
      <c r="A88" s="266"/>
      <c r="B88" s="263"/>
      <c r="C88" s="269"/>
      <c r="D88" s="263"/>
      <c r="E88" s="30" t="s">
        <v>150</v>
      </c>
      <c r="F88" s="58" t="s">
        <v>16</v>
      </c>
      <c r="G88" s="40" t="s">
        <v>151</v>
      </c>
      <c r="H88" s="144" t="s">
        <v>156</v>
      </c>
      <c r="I88" s="193">
        <v>0.4</v>
      </c>
      <c r="J88" s="328"/>
      <c r="K88" s="333"/>
      <c r="L88" s="194">
        <v>0</v>
      </c>
      <c r="M88" s="255"/>
      <c r="N88" s="252"/>
      <c r="O88" s="190"/>
      <c r="P88" s="189"/>
      <c r="Q88" s="189"/>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spans="1:62" x14ac:dyDescent="0.2">
      <c r="L89" s="174">
        <f>AVERAGE(L86:L88)</f>
        <v>0</v>
      </c>
      <c r="M89" s="174">
        <f>SUM(M86,M82,M75,M72)</f>
        <v>0</v>
      </c>
      <c r="N89" s="155"/>
      <c r="O89" s="150"/>
      <c r="P89" s="150"/>
      <c r="Q89" s="150"/>
    </row>
  </sheetData>
  <mergeCells count="100">
    <mergeCell ref="J82:J84"/>
    <mergeCell ref="J86:J88"/>
    <mergeCell ref="K72:K88"/>
    <mergeCell ref="L2:N2"/>
    <mergeCell ref="O2:Q2"/>
    <mergeCell ref="M4:M5"/>
    <mergeCell ref="M8:M9"/>
    <mergeCell ref="M11:M13"/>
    <mergeCell ref="M15:M16"/>
    <mergeCell ref="M18:M20"/>
    <mergeCell ref="M22:M25"/>
    <mergeCell ref="M28:M29"/>
    <mergeCell ref="N4:N29"/>
    <mergeCell ref="J65:J66"/>
    <mergeCell ref="J68:J70"/>
    <mergeCell ref="K52:K70"/>
    <mergeCell ref="J72:J73"/>
    <mergeCell ref="J75:J80"/>
    <mergeCell ref="K41:K50"/>
    <mergeCell ref="J41:J42"/>
    <mergeCell ref="J45:J47"/>
    <mergeCell ref="J52:J53"/>
    <mergeCell ref="J56:J59"/>
    <mergeCell ref="J61:J63"/>
    <mergeCell ref="J49:J50"/>
    <mergeCell ref="J28:J29"/>
    <mergeCell ref="K4:K29"/>
    <mergeCell ref="J31:J32"/>
    <mergeCell ref="J34:J36"/>
    <mergeCell ref="J38:J39"/>
    <mergeCell ref="K31:K39"/>
    <mergeCell ref="J8:J9"/>
    <mergeCell ref="J11:J13"/>
    <mergeCell ref="J15:J16"/>
    <mergeCell ref="J18:J20"/>
    <mergeCell ref="J22:J25"/>
    <mergeCell ref="I2:K2"/>
    <mergeCell ref="P4:P8"/>
    <mergeCell ref="Q4:Q20"/>
    <mergeCell ref="P9:P13"/>
    <mergeCell ref="P15:P19"/>
    <mergeCell ref="J4:J5"/>
    <mergeCell ref="C41:C50"/>
    <mergeCell ref="B41:B50"/>
    <mergeCell ref="A41:A50"/>
    <mergeCell ref="D52:D53"/>
    <mergeCell ref="C52:C70"/>
    <mergeCell ref="B52:B70"/>
    <mergeCell ref="A52:A70"/>
    <mergeCell ref="D56:D59"/>
    <mergeCell ref="D61:D63"/>
    <mergeCell ref="D65:D66"/>
    <mergeCell ref="D68:D70"/>
    <mergeCell ref="A31:A39"/>
    <mergeCell ref="D22:D25"/>
    <mergeCell ref="D28:D29"/>
    <mergeCell ref="C4:C29"/>
    <mergeCell ref="B4:B29"/>
    <mergeCell ref="D11:D13"/>
    <mergeCell ref="D15:D16"/>
    <mergeCell ref="D18:D20"/>
    <mergeCell ref="D4:D5"/>
    <mergeCell ref="D8:D9"/>
    <mergeCell ref="A30:H30"/>
    <mergeCell ref="B72:B88"/>
    <mergeCell ref="A72:A88"/>
    <mergeCell ref="C72:C88"/>
    <mergeCell ref="F2:G2"/>
    <mergeCell ref="D31:D32"/>
    <mergeCell ref="D34:D36"/>
    <mergeCell ref="D41:D42"/>
    <mergeCell ref="D45:D47"/>
    <mergeCell ref="D72:D73"/>
    <mergeCell ref="D75:D80"/>
    <mergeCell ref="D82:D84"/>
    <mergeCell ref="D86:D88"/>
    <mergeCell ref="A4:A29"/>
    <mergeCell ref="D38:D39"/>
    <mergeCell ref="C31:C39"/>
    <mergeCell ref="B31:B39"/>
    <mergeCell ref="O41:O50"/>
    <mergeCell ref="M52:M53"/>
    <mergeCell ref="M56:M59"/>
    <mergeCell ref="M61:M63"/>
    <mergeCell ref="M65:M66"/>
    <mergeCell ref="M41:M42"/>
    <mergeCell ref="M45:M47"/>
    <mergeCell ref="M49:M50"/>
    <mergeCell ref="N72:N88"/>
    <mergeCell ref="N31:N39"/>
    <mergeCell ref="N41:N50"/>
    <mergeCell ref="N52:N70"/>
    <mergeCell ref="M68:M70"/>
    <mergeCell ref="M72:M73"/>
    <mergeCell ref="M75:M80"/>
    <mergeCell ref="M82:M84"/>
    <mergeCell ref="M86:M88"/>
    <mergeCell ref="M31:M32"/>
    <mergeCell ref="M34:M36"/>
    <mergeCell ref="M38:M39"/>
  </mergeCells>
  <conditionalFormatting sqref="L4:N29">
    <cfRule type="colorScale" priority="1">
      <colorScale>
        <cfvo type="num" val="0"/>
        <cfvo type="num" val="0.05"/>
        <cfvo type="num" val="0.1"/>
        <color rgb="FFFF0000"/>
        <color rgb="FFFFEB84"/>
        <color theme="9"/>
      </colorScale>
    </cfRule>
  </conditionalFormatting>
  <conditionalFormatting sqref="L31:N39 L41:N49 L51:N88 L50 N50">
    <cfRule type="colorScale" priority="4">
      <colorScale>
        <cfvo type="num" val="0"/>
        <cfvo type="num" val="0.05"/>
        <cfvo type="num" val="0.1"/>
        <color rgb="FFFF0000"/>
        <color rgb="FFFFEB84"/>
        <color theme="9"/>
      </colorScale>
    </cfRule>
  </conditionalFormatting>
  <conditionalFormatting sqref="N31:N39">
    <cfRule type="colorScale" priority="3">
      <colorScale>
        <cfvo type="num" val="0"/>
        <cfvo type="num" val="0.1"/>
        <cfvo type="num" val="0.2"/>
        <color rgb="FFFF0000"/>
        <color rgb="FFFFEB84"/>
        <color theme="9"/>
      </colorScale>
    </cfRule>
  </conditionalFormatting>
  <conditionalFormatting sqref="O4:O8">
    <cfRule type="colorScale" priority="24">
      <colorScale>
        <cfvo type="num" val="0"/>
        <cfvo type="num" val="0.5"/>
        <cfvo type="num" val="1"/>
        <color rgb="FFFF0000"/>
        <color rgb="FFFFFF00"/>
        <color rgb="FF00B050"/>
      </colorScale>
    </cfRule>
    <cfRule type="colorScale" priority="25">
      <colorScale>
        <cfvo type="percent" val="0"/>
        <cfvo type="percent" val="50"/>
        <cfvo type="percent" val="100"/>
        <color rgb="FFF8696B"/>
        <color rgb="FFFFEB84"/>
        <color rgb="FF63BE7B"/>
      </colorScale>
    </cfRule>
    <cfRule type="colorScale" priority="26">
      <colorScale>
        <cfvo type="percent" val="0"/>
        <cfvo type="percent" val="50"/>
        <cfvo type="percent" val="100"/>
        <color rgb="FFF8696B"/>
        <color rgb="FFFFEB84"/>
        <color rgb="FF63BE7B"/>
      </colorScale>
    </cfRule>
  </conditionalFormatting>
  <conditionalFormatting sqref="O20:P21 O4:O19">
    <cfRule type="colorScale" priority="23">
      <colorScale>
        <cfvo type="num" val="0"/>
        <cfvo type="num" val="0.7"/>
        <cfvo type="num" val="1"/>
        <color rgb="FFFF0000"/>
        <color rgb="FFFFFF00"/>
        <color rgb="FF00B050"/>
      </colorScale>
    </cfRule>
  </conditionalFormatting>
  <conditionalFormatting sqref="P4:P8">
    <cfRule type="colorScale" priority="11">
      <colorScale>
        <cfvo type="num" val="0"/>
        <cfvo type="num" val="0.7"/>
        <cfvo type="num" val="1"/>
        <color rgb="FFFF0000"/>
        <color rgb="FFFFFF00"/>
        <color rgb="FF00B050"/>
      </colorScale>
    </cfRule>
  </conditionalFormatting>
  <conditionalFormatting sqref="P9:P14">
    <cfRule type="colorScale" priority="12">
      <colorScale>
        <cfvo type="num" val="0"/>
        <cfvo type="num" val="0.15"/>
        <cfvo type="num" val="0.25"/>
        <color rgb="FFFF0000"/>
        <color rgb="FFFFFF00"/>
        <color rgb="FF00B050"/>
      </colorScale>
    </cfRule>
  </conditionalFormatting>
  <conditionalFormatting sqref="P15">
    <cfRule type="colorScale" priority="14">
      <colorScale>
        <cfvo type="num" val="0"/>
        <cfvo type="num" val="0.2"/>
        <color rgb="FFFF0000"/>
        <color theme="7"/>
      </colorScale>
    </cfRule>
    <cfRule type="colorScale" priority="15">
      <colorScale>
        <cfvo type="num" val="0"/>
        <cfvo type="num" val="0.5"/>
        <color rgb="FFFF0000"/>
        <color rgb="FF00B050"/>
      </colorScale>
    </cfRule>
    <cfRule type="colorScale" priority="16">
      <colorScale>
        <cfvo type="num" val="0"/>
        <cfvo type="num" val="0.5"/>
        <color rgb="FFFF0000"/>
        <color theme="7"/>
      </colorScale>
    </cfRule>
    <cfRule type="colorScale" priority="17">
      <colorScale>
        <cfvo type="num" val="0"/>
        <cfvo type="num" val="0.5"/>
        <color rgb="FFFF7128"/>
        <color rgb="FF00B050"/>
      </colorScale>
    </cfRule>
    <cfRule type="colorScale" priority="18">
      <colorScale>
        <cfvo type="percent" val="0"/>
        <cfvo type="percent" val="25"/>
        <cfvo type="percent" val="50"/>
        <color rgb="FFF8696B"/>
        <color rgb="FFFFEB84"/>
        <color rgb="FF63BE7B"/>
      </colorScale>
    </cfRule>
  </conditionalFormatting>
  <conditionalFormatting sqref="P15:P19">
    <cfRule type="colorScale" priority="9">
      <colorScale>
        <cfvo type="num" val="0"/>
        <cfvo type="num" val="0.1"/>
        <cfvo type="num" val="0.2"/>
        <color rgb="FFFF0000"/>
        <color rgb="FFFFFF00"/>
        <color rgb="FF00B050"/>
      </colorScale>
    </cfRule>
    <cfRule type="colorScale" priority="10">
      <colorScale>
        <cfvo type="num" val="0"/>
        <cfvo type="num" val="0.1"/>
        <cfvo type="num" val="0.2"/>
        <color rgb="FFFF0000"/>
        <color rgb="FFFFFF00"/>
        <color rgb="FF00B050"/>
      </colorScale>
    </cfRule>
  </conditionalFormatting>
  <conditionalFormatting sqref="P4:Q4 P9:P10">
    <cfRule type="colorScale" priority="19">
      <colorScale>
        <cfvo type="num" val="0"/>
        <cfvo type="num" val="0.5"/>
        <color rgb="FFFF0000"/>
        <color rgb="FF00B050"/>
      </colorScale>
    </cfRule>
    <cfRule type="colorScale" priority="20">
      <colorScale>
        <cfvo type="num" val="0"/>
        <cfvo type="num" val="0.5"/>
        <color rgb="FFFF0000"/>
        <color theme="7"/>
      </colorScale>
    </cfRule>
    <cfRule type="colorScale" priority="21">
      <colorScale>
        <cfvo type="num" val="0"/>
        <cfvo type="num" val="0.5"/>
        <color rgb="FFFF7128"/>
        <color rgb="FF00B050"/>
      </colorScale>
    </cfRule>
    <cfRule type="colorScale" priority="22">
      <colorScale>
        <cfvo type="percent" val="0"/>
        <cfvo type="percent" val="25"/>
        <cfvo type="percent" val="50"/>
        <color rgb="FFF8696B"/>
        <color rgb="FFFFEB84"/>
        <color rgb="FF63BE7B"/>
      </colorScale>
    </cfRule>
  </conditionalFormatting>
  <conditionalFormatting sqref="Q4">
    <cfRule type="colorScale" priority="13">
      <colorScale>
        <cfvo type="num" val="0"/>
        <cfvo type="num" val="0.15"/>
        <cfvo type="num" val="0.4"/>
        <color rgb="FFF8696B"/>
        <color rgb="FFFFEB84"/>
        <color rgb="FF63BE7B"/>
      </colorScale>
    </cfRule>
  </conditionalFormatting>
  <conditionalFormatting sqref="Q4:Q21">
    <cfRule type="colorScale" priority="8">
      <colorScale>
        <cfvo type="num" val="0"/>
        <cfvo type="num" val="0.2"/>
        <cfvo type="num" val="0.4"/>
        <color rgb="FFFF0000"/>
        <color rgb="FFFFFF00"/>
        <color rgb="FF00B05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F556-3BC4-AA48-A121-B6571E4BFEC8}">
  <dimension ref="A1:BK67"/>
  <sheetViews>
    <sheetView showGridLines="0" topLeftCell="D1" zoomScale="120" zoomScaleNormal="120" workbookViewId="0">
      <pane ySplit="3" topLeftCell="A4" activePane="bottomLeft" state="frozen"/>
      <selection pane="bottomLeft" activeCell="D10" sqref="D10"/>
    </sheetView>
  </sheetViews>
  <sheetFormatPr baseColWidth="10" defaultRowHeight="14" x14ac:dyDescent="0.2"/>
  <cols>
    <col min="1" max="1" width="4.6640625" style="1" customWidth="1"/>
    <col min="2" max="2" width="21.33203125" style="31" customWidth="1"/>
    <col min="3" max="3" width="27.83203125" style="31" customWidth="1"/>
    <col min="4" max="4" width="24.5" style="9" customWidth="1"/>
    <col min="5" max="5" width="27.33203125" style="9" customWidth="1"/>
    <col min="6" max="6" width="27.5" style="2" customWidth="1"/>
    <col min="7" max="7" width="18" style="31" customWidth="1"/>
    <col min="8" max="8" width="17.6640625" style="38" customWidth="1"/>
    <col min="9" max="9" width="39.1640625" style="2" customWidth="1"/>
    <col min="10" max="16384" width="10.83203125" style="1"/>
  </cols>
  <sheetData>
    <row r="1" spans="2:9" ht="15" thickBot="1" x14ac:dyDescent="0.25"/>
    <row r="2" spans="2:9" x14ac:dyDescent="0.2">
      <c r="G2" s="101" t="s">
        <v>1</v>
      </c>
      <c r="H2" s="102"/>
    </row>
    <row r="3" spans="2:9" ht="15" thickBot="1" x14ac:dyDescent="0.25">
      <c r="B3" s="32" t="s">
        <v>4</v>
      </c>
      <c r="C3" s="32" t="s">
        <v>0</v>
      </c>
      <c r="D3" s="33" t="s">
        <v>2</v>
      </c>
      <c r="E3" s="34" t="s">
        <v>6</v>
      </c>
      <c r="F3" s="99" t="s">
        <v>10</v>
      </c>
      <c r="G3" s="103" t="s">
        <v>155</v>
      </c>
      <c r="H3" s="104" t="s">
        <v>154</v>
      </c>
      <c r="I3" s="100" t="s">
        <v>3</v>
      </c>
    </row>
    <row r="4" spans="2:9" ht="61" customHeight="1" x14ac:dyDescent="0.2">
      <c r="B4" s="85" t="s">
        <v>54</v>
      </c>
      <c r="C4" s="68" t="s">
        <v>5</v>
      </c>
      <c r="D4" s="68" t="s">
        <v>11</v>
      </c>
      <c r="E4" s="64" t="s">
        <v>7</v>
      </c>
      <c r="F4" s="26" t="s">
        <v>12</v>
      </c>
      <c r="G4" s="50" t="s">
        <v>16</v>
      </c>
      <c r="H4" s="24" t="s">
        <v>19</v>
      </c>
      <c r="I4" s="118"/>
    </row>
    <row r="5" spans="2:9" ht="46" customHeight="1" x14ac:dyDescent="0.2">
      <c r="B5" s="72" t="s">
        <v>54</v>
      </c>
      <c r="C5" s="67" t="s">
        <v>5</v>
      </c>
      <c r="D5" s="67" t="s">
        <v>11</v>
      </c>
      <c r="E5" s="62" t="s">
        <v>24</v>
      </c>
      <c r="F5" s="21" t="s">
        <v>26</v>
      </c>
      <c r="G5" s="51" t="s">
        <v>16</v>
      </c>
      <c r="H5" s="25" t="s">
        <v>20</v>
      </c>
      <c r="I5" s="118"/>
    </row>
    <row r="6" spans="2:9" ht="45" customHeight="1" x14ac:dyDescent="0.2">
      <c r="B6" s="72" t="s">
        <v>53</v>
      </c>
      <c r="C6" s="67" t="s">
        <v>56</v>
      </c>
      <c r="D6" s="67" t="s">
        <v>55</v>
      </c>
      <c r="E6" s="62" t="s">
        <v>57</v>
      </c>
      <c r="F6" s="21" t="s">
        <v>58</v>
      </c>
      <c r="G6" s="51" t="s">
        <v>16</v>
      </c>
      <c r="H6" s="25" t="s">
        <v>61</v>
      </c>
      <c r="I6" s="118"/>
    </row>
    <row r="7" spans="2:9" ht="45" customHeight="1" x14ac:dyDescent="0.2">
      <c r="B7" s="72" t="s">
        <v>53</v>
      </c>
      <c r="C7" s="67" t="s">
        <v>56</v>
      </c>
      <c r="D7" s="67" t="s">
        <v>55</v>
      </c>
      <c r="E7" s="62" t="s">
        <v>62</v>
      </c>
      <c r="F7" s="21" t="s">
        <v>63</v>
      </c>
      <c r="G7" s="51" t="s">
        <v>16</v>
      </c>
      <c r="H7" s="25" t="s">
        <v>67</v>
      </c>
      <c r="I7" s="119"/>
    </row>
    <row r="8" spans="2:9" ht="45" customHeight="1" x14ac:dyDescent="0.2">
      <c r="B8" s="72" t="s">
        <v>53</v>
      </c>
      <c r="C8" s="67" t="s">
        <v>56</v>
      </c>
      <c r="D8" s="67" t="s">
        <v>55</v>
      </c>
      <c r="E8" s="62" t="s">
        <v>69</v>
      </c>
      <c r="F8" s="21" t="s">
        <v>70</v>
      </c>
      <c r="G8" s="51" t="s">
        <v>16</v>
      </c>
      <c r="H8" s="25" t="s">
        <v>20</v>
      </c>
      <c r="I8" s="119"/>
    </row>
    <row r="9" spans="2:9" ht="56" customHeight="1" x14ac:dyDescent="0.2">
      <c r="B9" s="72" t="s">
        <v>53</v>
      </c>
      <c r="C9" s="67" t="s">
        <v>56</v>
      </c>
      <c r="D9" s="67" t="s">
        <v>55</v>
      </c>
      <c r="E9" s="62" t="s">
        <v>69</v>
      </c>
      <c r="F9" s="21" t="s">
        <v>71</v>
      </c>
      <c r="G9" s="51" t="s">
        <v>16</v>
      </c>
      <c r="H9" s="25" t="s">
        <v>20</v>
      </c>
      <c r="I9" s="119"/>
    </row>
    <row r="10" spans="2:9" ht="58" customHeight="1" x14ac:dyDescent="0.2">
      <c r="B10" s="72" t="s">
        <v>72</v>
      </c>
      <c r="C10" s="67" t="s">
        <v>74</v>
      </c>
      <c r="D10" s="67" t="s">
        <v>73</v>
      </c>
      <c r="E10" s="62" t="s">
        <v>85</v>
      </c>
      <c r="F10" s="21" t="s">
        <v>86</v>
      </c>
      <c r="G10" s="51" t="s">
        <v>16</v>
      </c>
      <c r="H10" s="25" t="s">
        <v>80</v>
      </c>
      <c r="I10" s="120"/>
    </row>
    <row r="11" spans="2:9" ht="54" customHeight="1" x14ac:dyDescent="0.2">
      <c r="B11" s="72" t="s">
        <v>72</v>
      </c>
      <c r="C11" s="67" t="s">
        <v>74</v>
      </c>
      <c r="D11" s="67" t="s">
        <v>73</v>
      </c>
      <c r="E11" s="41" t="s">
        <v>90</v>
      </c>
      <c r="F11" s="21" t="s">
        <v>91</v>
      </c>
      <c r="G11" s="51" t="s">
        <v>16</v>
      </c>
      <c r="H11" s="25" t="s">
        <v>80</v>
      </c>
      <c r="I11" s="120"/>
    </row>
    <row r="12" spans="2:9" ht="45" customHeight="1" x14ac:dyDescent="0.2">
      <c r="B12" s="72" t="s">
        <v>95</v>
      </c>
      <c r="C12" s="62" t="s">
        <v>96</v>
      </c>
      <c r="D12" s="62" t="s">
        <v>97</v>
      </c>
      <c r="E12" s="62" t="s">
        <v>105</v>
      </c>
      <c r="F12" s="21" t="s">
        <v>106</v>
      </c>
      <c r="G12" s="51" t="s">
        <v>16</v>
      </c>
      <c r="H12" s="25" t="s">
        <v>67</v>
      </c>
      <c r="I12" s="120"/>
    </row>
    <row r="13" spans="2:9" ht="46" customHeight="1" x14ac:dyDescent="0.2">
      <c r="B13" s="72" t="s">
        <v>95</v>
      </c>
      <c r="C13" s="62" t="s">
        <v>96</v>
      </c>
      <c r="D13" s="62" t="s">
        <v>97</v>
      </c>
      <c r="E13" s="62" t="s">
        <v>105</v>
      </c>
      <c r="F13" s="21" t="s">
        <v>107</v>
      </c>
      <c r="G13" s="51" t="s">
        <v>16</v>
      </c>
      <c r="H13" s="25" t="s">
        <v>110</v>
      </c>
      <c r="I13" s="120"/>
    </row>
    <row r="14" spans="2:9" ht="45" customHeight="1" x14ac:dyDescent="0.2">
      <c r="B14" s="72" t="s">
        <v>95</v>
      </c>
      <c r="C14" s="62" t="s">
        <v>96</v>
      </c>
      <c r="D14" s="62" t="s">
        <v>97</v>
      </c>
      <c r="E14" s="62" t="s">
        <v>105</v>
      </c>
      <c r="F14" s="21" t="s">
        <v>109</v>
      </c>
      <c r="G14" s="51" t="s">
        <v>16</v>
      </c>
      <c r="H14" s="25" t="s">
        <v>111</v>
      </c>
      <c r="I14" s="120"/>
    </row>
    <row r="15" spans="2:9" ht="58" customHeight="1" x14ac:dyDescent="0.2">
      <c r="B15" s="72" t="s">
        <v>125</v>
      </c>
      <c r="C15" s="62" t="s">
        <v>127</v>
      </c>
      <c r="D15" s="97" t="s">
        <v>126</v>
      </c>
      <c r="E15" s="62" t="s">
        <v>128</v>
      </c>
      <c r="F15" s="29" t="s">
        <v>129</v>
      </c>
      <c r="G15" s="51" t="s">
        <v>16</v>
      </c>
      <c r="H15" s="98" t="s">
        <v>20</v>
      </c>
      <c r="I15" s="120"/>
    </row>
    <row r="16" spans="2:9" ht="46" customHeight="1" x14ac:dyDescent="0.2">
      <c r="B16" s="72" t="s">
        <v>125</v>
      </c>
      <c r="C16" s="62" t="s">
        <v>127</v>
      </c>
      <c r="D16" s="97" t="s">
        <v>126</v>
      </c>
      <c r="E16" s="62" t="s">
        <v>128</v>
      </c>
      <c r="F16" s="29" t="s">
        <v>130</v>
      </c>
      <c r="G16" s="51" t="s">
        <v>16</v>
      </c>
      <c r="H16" s="98" t="s">
        <v>20</v>
      </c>
      <c r="I16" s="120"/>
    </row>
    <row r="17" spans="2:9" ht="46" customHeight="1" x14ac:dyDescent="0.2">
      <c r="B17" s="72" t="s">
        <v>125</v>
      </c>
      <c r="C17" s="62" t="s">
        <v>127</v>
      </c>
      <c r="D17" s="97" t="s">
        <v>126</v>
      </c>
      <c r="E17" s="62" t="s">
        <v>131</v>
      </c>
      <c r="F17" s="29" t="s">
        <v>133</v>
      </c>
      <c r="G17" s="51" t="s">
        <v>16</v>
      </c>
      <c r="H17" s="25" t="s">
        <v>139</v>
      </c>
      <c r="I17" s="120"/>
    </row>
    <row r="18" spans="2:9" ht="46" customHeight="1" x14ac:dyDescent="0.2">
      <c r="B18" s="72" t="s">
        <v>125</v>
      </c>
      <c r="C18" s="62" t="s">
        <v>127</v>
      </c>
      <c r="D18" s="97" t="s">
        <v>126</v>
      </c>
      <c r="E18" s="62" t="s">
        <v>142</v>
      </c>
      <c r="F18" s="29" t="s">
        <v>143</v>
      </c>
      <c r="G18" s="57" t="s">
        <v>16</v>
      </c>
      <c r="H18" s="25" t="s">
        <v>110</v>
      </c>
      <c r="I18" s="120"/>
    </row>
    <row r="19" spans="2:9" ht="46" customHeight="1" x14ac:dyDescent="0.2">
      <c r="B19" s="72" t="s">
        <v>125</v>
      </c>
      <c r="C19" s="62" t="s">
        <v>127</v>
      </c>
      <c r="D19" s="97" t="s">
        <v>126</v>
      </c>
      <c r="E19" s="62" t="s">
        <v>142</v>
      </c>
      <c r="F19" s="29" t="s">
        <v>144</v>
      </c>
      <c r="G19" s="57" t="s">
        <v>16</v>
      </c>
      <c r="H19" s="39" t="s">
        <v>146</v>
      </c>
      <c r="I19" s="120"/>
    </row>
    <row r="20" spans="2:9" ht="46" customHeight="1" x14ac:dyDescent="0.2">
      <c r="B20" s="72" t="s">
        <v>125</v>
      </c>
      <c r="C20" s="62" t="s">
        <v>127</v>
      </c>
      <c r="D20" s="97" t="s">
        <v>126</v>
      </c>
      <c r="E20" s="62" t="s">
        <v>142</v>
      </c>
      <c r="F20" s="29" t="s">
        <v>145</v>
      </c>
      <c r="G20" s="57" t="s">
        <v>16</v>
      </c>
      <c r="H20" s="83" t="s">
        <v>20</v>
      </c>
      <c r="I20" s="120"/>
    </row>
    <row r="21" spans="2:9" ht="46" customHeight="1" x14ac:dyDescent="0.2">
      <c r="B21" s="72" t="s">
        <v>125</v>
      </c>
      <c r="C21" s="62" t="s">
        <v>127</v>
      </c>
      <c r="D21" s="97" t="s">
        <v>126</v>
      </c>
      <c r="E21" s="62" t="s">
        <v>147</v>
      </c>
      <c r="F21" s="29" t="s">
        <v>149</v>
      </c>
      <c r="G21" s="57" t="s">
        <v>16</v>
      </c>
      <c r="H21" s="83" t="s">
        <v>20</v>
      </c>
      <c r="I21" s="120"/>
    </row>
    <row r="22" spans="2:9" ht="46" customHeight="1" thickBot="1" x14ac:dyDescent="0.25">
      <c r="B22" s="105" t="s">
        <v>125</v>
      </c>
      <c r="C22" s="63" t="s">
        <v>127</v>
      </c>
      <c r="D22" s="106" t="s">
        <v>126</v>
      </c>
      <c r="E22" s="63" t="s">
        <v>147</v>
      </c>
      <c r="F22" s="76" t="s">
        <v>150</v>
      </c>
      <c r="G22" s="107" t="s">
        <v>16</v>
      </c>
      <c r="H22" s="23" t="s">
        <v>151</v>
      </c>
      <c r="I22" s="120"/>
    </row>
    <row r="23" spans="2:9" ht="46" customHeight="1" x14ac:dyDescent="0.2">
      <c r="B23" s="85" t="s">
        <v>72</v>
      </c>
      <c r="C23" s="68" t="s">
        <v>74</v>
      </c>
      <c r="D23" s="68" t="s">
        <v>73</v>
      </c>
      <c r="E23" s="64" t="s">
        <v>75</v>
      </c>
      <c r="F23" s="26" t="s">
        <v>76</v>
      </c>
      <c r="G23" s="50" t="s">
        <v>78</v>
      </c>
      <c r="H23" s="24" t="s">
        <v>80</v>
      </c>
      <c r="I23" s="120"/>
    </row>
    <row r="24" spans="2:9" ht="46" customHeight="1" x14ac:dyDescent="0.2">
      <c r="B24" s="72" t="s">
        <v>53</v>
      </c>
      <c r="C24" s="67" t="s">
        <v>56</v>
      </c>
      <c r="D24" s="67" t="s">
        <v>55</v>
      </c>
      <c r="E24" s="62" t="s">
        <v>57</v>
      </c>
      <c r="F24" s="21" t="s">
        <v>59</v>
      </c>
      <c r="G24" s="51" t="s">
        <v>60</v>
      </c>
      <c r="H24" s="25" t="s">
        <v>20</v>
      </c>
      <c r="I24" s="120"/>
    </row>
    <row r="25" spans="2:9" ht="46" customHeight="1" x14ac:dyDescent="0.2">
      <c r="B25" s="72" t="s">
        <v>95</v>
      </c>
      <c r="C25" s="62" t="s">
        <v>96</v>
      </c>
      <c r="D25" s="62" t="s">
        <v>97</v>
      </c>
      <c r="E25" s="41" t="s">
        <v>103</v>
      </c>
      <c r="F25" s="21" t="s">
        <v>104</v>
      </c>
      <c r="G25" s="51" t="s">
        <v>60</v>
      </c>
      <c r="H25" s="25" t="s">
        <v>20</v>
      </c>
      <c r="I25" s="120"/>
    </row>
    <row r="26" spans="2:9" ht="46" customHeight="1" x14ac:dyDescent="0.2">
      <c r="B26" s="72" t="s">
        <v>95</v>
      </c>
      <c r="C26" s="62" t="s">
        <v>96</v>
      </c>
      <c r="D26" s="62" t="s">
        <v>97</v>
      </c>
      <c r="E26" s="62" t="s">
        <v>105</v>
      </c>
      <c r="F26" s="21" t="s">
        <v>108</v>
      </c>
      <c r="G26" s="51" t="s">
        <v>60</v>
      </c>
      <c r="H26" s="25" t="s">
        <v>102</v>
      </c>
      <c r="I26" s="120"/>
    </row>
    <row r="27" spans="2:9" ht="46" customHeight="1" x14ac:dyDescent="0.2">
      <c r="B27" s="72" t="s">
        <v>95</v>
      </c>
      <c r="C27" s="62" t="s">
        <v>96</v>
      </c>
      <c r="D27" s="62" t="s">
        <v>97</v>
      </c>
      <c r="E27" s="62" t="s">
        <v>112</v>
      </c>
      <c r="F27" s="21" t="s">
        <v>113</v>
      </c>
      <c r="G27" s="51" t="s">
        <v>60</v>
      </c>
      <c r="H27" s="25" t="s">
        <v>102</v>
      </c>
      <c r="I27" s="120"/>
    </row>
    <row r="28" spans="2:9" ht="46" customHeight="1" x14ac:dyDescent="0.2">
      <c r="B28" s="72" t="s">
        <v>95</v>
      </c>
      <c r="C28" s="62" t="s">
        <v>96</v>
      </c>
      <c r="D28" s="62" t="s">
        <v>97</v>
      </c>
      <c r="E28" s="62" t="s">
        <v>112</v>
      </c>
      <c r="F28" s="21" t="s">
        <v>114</v>
      </c>
      <c r="G28" s="51" t="s">
        <v>60</v>
      </c>
      <c r="H28" s="25" t="s">
        <v>116</v>
      </c>
      <c r="I28" s="120"/>
    </row>
    <row r="29" spans="2:9" ht="46" customHeight="1" x14ac:dyDescent="0.2">
      <c r="B29" s="72" t="s">
        <v>95</v>
      </c>
      <c r="C29" s="62" t="s">
        <v>96</v>
      </c>
      <c r="D29" s="62" t="s">
        <v>97</v>
      </c>
      <c r="E29" s="62" t="s">
        <v>112</v>
      </c>
      <c r="F29" s="21" t="s">
        <v>115</v>
      </c>
      <c r="G29" s="51" t="s">
        <v>60</v>
      </c>
      <c r="H29" s="25" t="s">
        <v>117</v>
      </c>
      <c r="I29" s="120"/>
    </row>
    <row r="30" spans="2:9" ht="46" customHeight="1" x14ac:dyDescent="0.2">
      <c r="B30" s="72" t="s">
        <v>95</v>
      </c>
      <c r="C30" s="62" t="s">
        <v>96</v>
      </c>
      <c r="D30" s="62" t="s">
        <v>97</v>
      </c>
      <c r="E30" s="62" t="s">
        <v>118</v>
      </c>
      <c r="F30" s="21" t="s">
        <v>120</v>
      </c>
      <c r="G30" s="51" t="s">
        <v>60</v>
      </c>
      <c r="H30" s="25" t="s">
        <v>110</v>
      </c>
      <c r="I30" s="120"/>
    </row>
    <row r="31" spans="2:9" ht="46" customHeight="1" x14ac:dyDescent="0.2">
      <c r="B31" s="72" t="s">
        <v>95</v>
      </c>
      <c r="C31" s="62" t="s">
        <v>96</v>
      </c>
      <c r="D31" s="62" t="s">
        <v>97</v>
      </c>
      <c r="E31" s="62" t="s">
        <v>121</v>
      </c>
      <c r="F31" s="21" t="s">
        <v>123</v>
      </c>
      <c r="G31" s="51" t="s">
        <v>60</v>
      </c>
      <c r="H31" s="74" t="s">
        <v>67</v>
      </c>
      <c r="I31" s="120"/>
    </row>
    <row r="32" spans="2:9" ht="46" customHeight="1" x14ac:dyDescent="0.2">
      <c r="B32" s="72" t="s">
        <v>95</v>
      </c>
      <c r="C32" s="62" t="s">
        <v>96</v>
      </c>
      <c r="D32" s="62" t="s">
        <v>97</v>
      </c>
      <c r="E32" s="62" t="s">
        <v>121</v>
      </c>
      <c r="F32" s="21" t="s">
        <v>124</v>
      </c>
      <c r="G32" s="51" t="s">
        <v>60</v>
      </c>
      <c r="H32" s="25" t="s">
        <v>20</v>
      </c>
      <c r="I32" s="120"/>
    </row>
    <row r="33" spans="1:63" ht="46" customHeight="1" x14ac:dyDescent="0.2">
      <c r="B33" s="72" t="s">
        <v>72</v>
      </c>
      <c r="C33" s="67" t="s">
        <v>74</v>
      </c>
      <c r="D33" s="67" t="s">
        <v>73</v>
      </c>
      <c r="E33" s="62" t="s">
        <v>85</v>
      </c>
      <c r="F33" s="21" t="s">
        <v>88</v>
      </c>
      <c r="G33" s="51" t="s">
        <v>92</v>
      </c>
      <c r="H33" s="25" t="s">
        <v>89</v>
      </c>
      <c r="I33" s="120"/>
    </row>
    <row r="34" spans="1:63" ht="46" customHeight="1" x14ac:dyDescent="0.2">
      <c r="B34" s="72" t="s">
        <v>125</v>
      </c>
      <c r="C34" s="62" t="s">
        <v>127</v>
      </c>
      <c r="D34" s="97" t="s">
        <v>126</v>
      </c>
      <c r="E34" s="62" t="s">
        <v>131</v>
      </c>
      <c r="F34" s="29" t="s">
        <v>132</v>
      </c>
      <c r="G34" s="51" t="s">
        <v>92</v>
      </c>
      <c r="H34" s="25" t="s">
        <v>138</v>
      </c>
      <c r="I34" s="120"/>
    </row>
    <row r="35" spans="1:63" ht="46" customHeight="1" x14ac:dyDescent="0.2">
      <c r="B35" s="72" t="s">
        <v>125</v>
      </c>
      <c r="C35" s="62" t="s">
        <v>127</v>
      </c>
      <c r="D35" s="97" t="s">
        <v>126</v>
      </c>
      <c r="E35" s="62" t="s">
        <v>131</v>
      </c>
      <c r="F35" s="29" t="s">
        <v>134</v>
      </c>
      <c r="G35" s="51" t="s">
        <v>92</v>
      </c>
      <c r="H35" s="25" t="s">
        <v>140</v>
      </c>
      <c r="I35" s="120"/>
    </row>
    <row r="36" spans="1:63" ht="46" customHeight="1" x14ac:dyDescent="0.2">
      <c r="B36" s="72" t="s">
        <v>125</v>
      </c>
      <c r="C36" s="62" t="s">
        <v>127</v>
      </c>
      <c r="D36" s="97" t="s">
        <v>126</v>
      </c>
      <c r="E36" s="62" t="s">
        <v>131</v>
      </c>
      <c r="F36" s="29" t="s">
        <v>135</v>
      </c>
      <c r="G36" s="56" t="s">
        <v>92</v>
      </c>
      <c r="H36" s="25" t="s">
        <v>141</v>
      </c>
      <c r="I36" s="120"/>
    </row>
    <row r="37" spans="1:63" ht="46" customHeight="1" x14ac:dyDescent="0.2">
      <c r="B37" s="72" t="s">
        <v>125</v>
      </c>
      <c r="C37" s="62" t="s">
        <v>127</v>
      </c>
      <c r="D37" s="97" t="s">
        <v>126</v>
      </c>
      <c r="E37" s="62" t="s">
        <v>131</v>
      </c>
      <c r="F37" s="29" t="s">
        <v>136</v>
      </c>
      <c r="G37" s="57" t="s">
        <v>92</v>
      </c>
      <c r="H37" s="25" t="s">
        <v>20</v>
      </c>
      <c r="I37" s="120"/>
    </row>
    <row r="38" spans="1:63" ht="46" customHeight="1" x14ac:dyDescent="0.2">
      <c r="B38" s="72" t="s">
        <v>125</v>
      </c>
      <c r="C38" s="62" t="s">
        <v>127</v>
      </c>
      <c r="D38" s="97" t="s">
        <v>126</v>
      </c>
      <c r="E38" s="62" t="s">
        <v>131</v>
      </c>
      <c r="F38" s="29" t="s">
        <v>137</v>
      </c>
      <c r="G38" s="57" t="s">
        <v>92</v>
      </c>
      <c r="H38" s="25" t="s">
        <v>153</v>
      </c>
      <c r="I38" s="120"/>
    </row>
    <row r="39" spans="1:63" ht="60" customHeight="1" x14ac:dyDescent="0.2">
      <c r="B39" s="72" t="s">
        <v>54</v>
      </c>
      <c r="C39" s="67" t="s">
        <v>5</v>
      </c>
      <c r="D39" s="67" t="s">
        <v>11</v>
      </c>
      <c r="E39" s="62" t="s">
        <v>9</v>
      </c>
      <c r="F39" s="21" t="s">
        <v>21</v>
      </c>
      <c r="G39" s="51" t="s">
        <v>22</v>
      </c>
      <c r="H39" s="25" t="s">
        <v>23</v>
      </c>
      <c r="I39" s="120"/>
    </row>
    <row r="40" spans="1:63" ht="73" customHeight="1" x14ac:dyDescent="0.2">
      <c r="B40" s="72" t="s">
        <v>54</v>
      </c>
      <c r="C40" s="67" t="s">
        <v>5</v>
      </c>
      <c r="D40" s="67" t="s">
        <v>11</v>
      </c>
      <c r="E40" s="62" t="s">
        <v>7</v>
      </c>
      <c r="F40" s="21" t="s">
        <v>13</v>
      </c>
      <c r="G40" s="51" t="s">
        <v>17</v>
      </c>
      <c r="H40" s="25" t="s">
        <v>20</v>
      </c>
      <c r="I40" s="120"/>
    </row>
    <row r="41" spans="1:63" ht="88" customHeight="1" x14ac:dyDescent="0.2">
      <c r="B41" s="72" t="s">
        <v>54</v>
      </c>
      <c r="C41" s="67" t="s">
        <v>5</v>
      </c>
      <c r="D41" s="67" t="s">
        <v>11</v>
      </c>
      <c r="E41" s="62" t="s">
        <v>9</v>
      </c>
      <c r="F41" s="21" t="s">
        <v>15</v>
      </c>
      <c r="G41" s="51" t="s">
        <v>17</v>
      </c>
      <c r="H41" s="25" t="s">
        <v>20</v>
      </c>
      <c r="I41" s="120"/>
    </row>
    <row r="42" spans="1:63" ht="59" customHeight="1" x14ac:dyDescent="0.2">
      <c r="B42" s="72" t="s">
        <v>54</v>
      </c>
      <c r="C42" s="67" t="s">
        <v>5</v>
      </c>
      <c r="D42" s="67" t="s">
        <v>11</v>
      </c>
      <c r="E42" s="62" t="s">
        <v>24</v>
      </c>
      <c r="F42" s="69" t="s">
        <v>25</v>
      </c>
      <c r="G42" s="51" t="s">
        <v>17</v>
      </c>
      <c r="H42" s="25" t="s">
        <v>20</v>
      </c>
      <c r="I42" s="120"/>
    </row>
    <row r="43" spans="1:63" ht="57" customHeight="1" x14ac:dyDescent="0.2">
      <c r="B43" s="72" t="s">
        <v>54</v>
      </c>
      <c r="C43" s="67" t="s">
        <v>5</v>
      </c>
      <c r="D43" s="67" t="s">
        <v>11</v>
      </c>
      <c r="E43" s="62" t="s">
        <v>30</v>
      </c>
      <c r="F43" s="21" t="s">
        <v>31</v>
      </c>
      <c r="G43" s="51" t="s">
        <v>17</v>
      </c>
      <c r="H43" s="25" t="s">
        <v>20</v>
      </c>
      <c r="I43" s="120"/>
    </row>
    <row r="44" spans="1:63" ht="30" customHeight="1" x14ac:dyDescent="0.2">
      <c r="B44" s="72" t="s">
        <v>54</v>
      </c>
      <c r="C44" s="67" t="s">
        <v>5</v>
      </c>
      <c r="D44" s="67" t="s">
        <v>11</v>
      </c>
      <c r="E44" s="62" t="s">
        <v>33</v>
      </c>
      <c r="F44" s="21" t="s">
        <v>35</v>
      </c>
      <c r="G44" s="51" t="s">
        <v>17</v>
      </c>
      <c r="H44" s="25" t="s">
        <v>37</v>
      </c>
      <c r="I44" s="120"/>
    </row>
    <row r="45" spans="1:63" ht="47" customHeight="1" thickBot="1" x14ac:dyDescent="0.25">
      <c r="B45" s="73" t="s">
        <v>53</v>
      </c>
      <c r="C45" s="108" t="s">
        <v>56</v>
      </c>
      <c r="D45" s="108" t="s">
        <v>55</v>
      </c>
      <c r="E45" s="87" t="s">
        <v>62</v>
      </c>
      <c r="F45" s="22" t="s">
        <v>65</v>
      </c>
      <c r="G45" s="52" t="s">
        <v>66</v>
      </c>
      <c r="H45" s="40" t="s">
        <v>61</v>
      </c>
      <c r="I45" s="120"/>
    </row>
    <row r="46" spans="1:63" s="4" customFormat="1" ht="88" customHeight="1" x14ac:dyDescent="0.2">
      <c r="A46" s="5"/>
      <c r="B46" s="86" t="s">
        <v>54</v>
      </c>
      <c r="C46" s="77" t="s">
        <v>5</v>
      </c>
      <c r="D46" s="77" t="s">
        <v>11</v>
      </c>
      <c r="E46" s="66" t="s">
        <v>24</v>
      </c>
      <c r="F46" s="95" t="s">
        <v>27</v>
      </c>
      <c r="G46" s="96" t="s">
        <v>28</v>
      </c>
      <c r="H46" s="75" t="s">
        <v>29</v>
      </c>
      <c r="I46" s="120"/>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ht="46" customHeight="1" x14ac:dyDescent="0.2">
      <c r="B47" s="86" t="s">
        <v>54</v>
      </c>
      <c r="C47" s="77" t="s">
        <v>5</v>
      </c>
      <c r="D47" s="77" t="s">
        <v>11</v>
      </c>
      <c r="E47" s="62" t="s">
        <v>30</v>
      </c>
      <c r="F47" s="21" t="s">
        <v>32</v>
      </c>
      <c r="G47" s="51" t="s">
        <v>28</v>
      </c>
      <c r="H47" s="25" t="s">
        <v>20</v>
      </c>
      <c r="I47" s="120"/>
    </row>
    <row r="48" spans="1:63" ht="47" customHeight="1" x14ac:dyDescent="0.2">
      <c r="B48" s="86" t="s">
        <v>54</v>
      </c>
      <c r="C48" s="77" t="s">
        <v>5</v>
      </c>
      <c r="D48" s="77" t="s">
        <v>11</v>
      </c>
      <c r="E48" s="62" t="s">
        <v>33</v>
      </c>
      <c r="F48" s="21" t="s">
        <v>34</v>
      </c>
      <c r="G48" s="51" t="s">
        <v>28</v>
      </c>
      <c r="H48" s="25" t="s">
        <v>20</v>
      </c>
      <c r="I48" s="120"/>
    </row>
    <row r="49" spans="1:63" ht="46" customHeight="1" x14ac:dyDescent="0.2">
      <c r="B49" s="86" t="s">
        <v>54</v>
      </c>
      <c r="C49" s="77" t="s">
        <v>5</v>
      </c>
      <c r="D49" s="77" t="s">
        <v>11</v>
      </c>
      <c r="E49" s="41" t="s">
        <v>44</v>
      </c>
      <c r="F49" s="21" t="s">
        <v>45</v>
      </c>
      <c r="G49" s="51" t="s">
        <v>28</v>
      </c>
      <c r="H49" s="25" t="s">
        <v>46</v>
      </c>
      <c r="I49" s="120"/>
    </row>
    <row r="50" spans="1:63" ht="45" customHeight="1" x14ac:dyDescent="0.2">
      <c r="B50" s="86" t="s">
        <v>53</v>
      </c>
      <c r="C50" s="77" t="s">
        <v>56</v>
      </c>
      <c r="D50" s="77" t="s">
        <v>55</v>
      </c>
      <c r="E50" s="62" t="s">
        <v>62</v>
      </c>
      <c r="F50" s="21" t="s">
        <v>64</v>
      </c>
      <c r="G50" s="51" t="s">
        <v>28</v>
      </c>
      <c r="H50" s="25" t="s">
        <v>68</v>
      </c>
      <c r="I50" s="120"/>
    </row>
    <row r="51" spans="1:63" ht="60" customHeight="1" x14ac:dyDescent="0.2">
      <c r="B51" s="86" t="s">
        <v>72</v>
      </c>
      <c r="C51" s="77" t="s">
        <v>74</v>
      </c>
      <c r="D51" s="77" t="s">
        <v>73</v>
      </c>
      <c r="E51" s="41" t="s">
        <v>93</v>
      </c>
      <c r="F51" s="21" t="s">
        <v>94</v>
      </c>
      <c r="G51" s="51" t="s">
        <v>28</v>
      </c>
      <c r="H51" s="25" t="s">
        <v>80</v>
      </c>
      <c r="I51" s="120"/>
    </row>
    <row r="52" spans="1:63" ht="47" customHeight="1" x14ac:dyDescent="0.2">
      <c r="B52" s="86" t="s">
        <v>95</v>
      </c>
      <c r="C52" s="66" t="s">
        <v>96</v>
      </c>
      <c r="D52" s="66" t="s">
        <v>97</v>
      </c>
      <c r="E52" s="62" t="s">
        <v>98</v>
      </c>
      <c r="F52" s="21" t="s">
        <v>99</v>
      </c>
      <c r="G52" s="51" t="s">
        <v>28</v>
      </c>
      <c r="H52" s="25" t="s">
        <v>101</v>
      </c>
      <c r="I52" s="120"/>
    </row>
    <row r="53" spans="1:63" ht="58" customHeight="1" thickBot="1" x14ac:dyDescent="0.25">
      <c r="B53" s="86" t="s">
        <v>95</v>
      </c>
      <c r="C53" s="66" t="s">
        <v>96</v>
      </c>
      <c r="D53" s="66" t="s">
        <v>97</v>
      </c>
      <c r="E53" s="62" t="s">
        <v>98</v>
      </c>
      <c r="F53" s="27" t="s">
        <v>100</v>
      </c>
      <c r="G53" s="54" t="s">
        <v>28</v>
      </c>
      <c r="H53" s="23" t="s">
        <v>102</v>
      </c>
      <c r="I53" s="120"/>
    </row>
    <row r="54" spans="1:63" ht="98" customHeight="1" x14ac:dyDescent="0.2">
      <c r="B54" s="93" t="s">
        <v>54</v>
      </c>
      <c r="C54" s="89" t="s">
        <v>5</v>
      </c>
      <c r="D54" s="68" t="s">
        <v>11</v>
      </c>
      <c r="E54" s="90" t="s">
        <v>8</v>
      </c>
      <c r="F54" s="71" t="s">
        <v>14</v>
      </c>
      <c r="G54" s="53" t="s">
        <v>18</v>
      </c>
      <c r="H54" s="91" t="s">
        <v>20</v>
      </c>
      <c r="I54" s="118"/>
    </row>
    <row r="55" spans="1:63" ht="150" x14ac:dyDescent="0.2">
      <c r="B55" s="94" t="s">
        <v>54</v>
      </c>
      <c r="C55" s="88" t="s">
        <v>5</v>
      </c>
      <c r="D55" s="77" t="s">
        <v>11</v>
      </c>
      <c r="E55" s="61" t="s">
        <v>33</v>
      </c>
      <c r="F55" s="70" t="s">
        <v>36</v>
      </c>
      <c r="G55" s="55" t="s">
        <v>18</v>
      </c>
      <c r="H55" s="92" t="s">
        <v>20</v>
      </c>
      <c r="I55" s="121"/>
    </row>
    <row r="56" spans="1:63" ht="87" customHeight="1" x14ac:dyDescent="0.2">
      <c r="B56" s="94" t="s">
        <v>54</v>
      </c>
      <c r="C56" s="88" t="s">
        <v>5</v>
      </c>
      <c r="D56" s="77" t="s">
        <v>11</v>
      </c>
      <c r="E56" s="62" t="s">
        <v>38</v>
      </c>
      <c r="F56" s="21" t="s">
        <v>39</v>
      </c>
      <c r="G56" s="72" t="s">
        <v>18</v>
      </c>
      <c r="H56" s="25" t="s">
        <v>20</v>
      </c>
      <c r="I56" s="121"/>
    </row>
    <row r="57" spans="1:63" ht="49" customHeight="1" x14ac:dyDescent="0.2">
      <c r="B57" s="94" t="s">
        <v>54</v>
      </c>
      <c r="C57" s="88" t="s">
        <v>5</v>
      </c>
      <c r="D57" s="77" t="s">
        <v>11</v>
      </c>
      <c r="E57" s="62" t="s">
        <v>38</v>
      </c>
      <c r="F57" s="21" t="s">
        <v>40</v>
      </c>
      <c r="G57" s="72" t="s">
        <v>18</v>
      </c>
      <c r="H57" s="25" t="s">
        <v>20</v>
      </c>
      <c r="I57" s="121"/>
    </row>
    <row r="58" spans="1:63" ht="89" customHeight="1" x14ac:dyDescent="0.2">
      <c r="B58" s="94" t="s">
        <v>54</v>
      </c>
      <c r="C58" s="88" t="s">
        <v>5</v>
      </c>
      <c r="D58" s="77" t="s">
        <v>11</v>
      </c>
      <c r="E58" s="62" t="s">
        <v>38</v>
      </c>
      <c r="F58" s="21" t="s">
        <v>41</v>
      </c>
      <c r="G58" s="72" t="s">
        <v>18</v>
      </c>
      <c r="H58" s="25" t="s">
        <v>20</v>
      </c>
      <c r="I58" s="121"/>
    </row>
    <row r="59" spans="1:63" ht="87" customHeight="1" x14ac:dyDescent="0.2">
      <c r="B59" s="94" t="s">
        <v>54</v>
      </c>
      <c r="C59" s="88" t="s">
        <v>5</v>
      </c>
      <c r="D59" s="77" t="s">
        <v>11</v>
      </c>
      <c r="E59" s="62" t="s">
        <v>38</v>
      </c>
      <c r="F59" s="21" t="s">
        <v>42</v>
      </c>
      <c r="G59" s="72" t="s">
        <v>18</v>
      </c>
      <c r="H59" s="25" t="s">
        <v>43</v>
      </c>
      <c r="I59" s="121"/>
    </row>
    <row r="60" spans="1:63" ht="91" customHeight="1" x14ac:dyDescent="0.2">
      <c r="B60" s="94" t="s">
        <v>72</v>
      </c>
      <c r="C60" s="88" t="s">
        <v>74</v>
      </c>
      <c r="D60" s="77" t="s">
        <v>73</v>
      </c>
      <c r="E60" s="62" t="s">
        <v>75</v>
      </c>
      <c r="F60" s="21" t="s">
        <v>77</v>
      </c>
      <c r="G60" s="51" t="s">
        <v>79</v>
      </c>
      <c r="H60" s="25" t="s">
        <v>81</v>
      </c>
      <c r="I60" s="121"/>
    </row>
    <row r="61" spans="1:63" s="4" customFormat="1" ht="49" customHeight="1" x14ac:dyDescent="0.2">
      <c r="A61" s="5"/>
      <c r="B61" s="94" t="s">
        <v>72</v>
      </c>
      <c r="C61" s="88" t="s">
        <v>74</v>
      </c>
      <c r="D61" s="77" t="s">
        <v>73</v>
      </c>
      <c r="E61" s="41" t="s">
        <v>82</v>
      </c>
      <c r="F61" s="21" t="s">
        <v>83</v>
      </c>
      <c r="G61" s="51" t="s">
        <v>79</v>
      </c>
      <c r="H61" s="25" t="s">
        <v>84</v>
      </c>
      <c r="I61" s="12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63" s="4" customFormat="1" ht="45" customHeight="1" x14ac:dyDescent="0.2">
      <c r="A62" s="5"/>
      <c r="B62" s="94" t="s">
        <v>72</v>
      </c>
      <c r="C62" s="88" t="s">
        <v>74</v>
      </c>
      <c r="D62" s="77" t="s">
        <v>73</v>
      </c>
      <c r="E62" s="62" t="s">
        <v>85</v>
      </c>
      <c r="F62" s="21" t="s">
        <v>87</v>
      </c>
      <c r="G62" s="51" t="s">
        <v>79</v>
      </c>
      <c r="H62" s="25" t="s">
        <v>84</v>
      </c>
      <c r="I62" s="12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spans="1:63" s="4" customFormat="1" ht="88" customHeight="1" x14ac:dyDescent="0.2">
      <c r="A63" s="5"/>
      <c r="B63" s="94" t="s">
        <v>95</v>
      </c>
      <c r="C63" s="72" t="s">
        <v>96</v>
      </c>
      <c r="D63" s="66" t="s">
        <v>97</v>
      </c>
      <c r="E63" s="62" t="s">
        <v>118</v>
      </c>
      <c r="F63" s="21" t="s">
        <v>119</v>
      </c>
      <c r="G63" s="51" t="s">
        <v>79</v>
      </c>
      <c r="H63" s="25" t="s">
        <v>67</v>
      </c>
      <c r="I63" s="118"/>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1:63" s="4" customFormat="1" ht="30" customHeight="1" x14ac:dyDescent="0.2">
      <c r="A64" s="5"/>
      <c r="B64" s="94" t="s">
        <v>95</v>
      </c>
      <c r="C64" s="72" t="s">
        <v>96</v>
      </c>
      <c r="D64" s="66" t="s">
        <v>97</v>
      </c>
      <c r="E64" s="62" t="s">
        <v>121</v>
      </c>
      <c r="F64" s="21" t="s">
        <v>122</v>
      </c>
      <c r="G64" s="51" t="s">
        <v>79</v>
      </c>
      <c r="H64" s="74" t="s">
        <v>67</v>
      </c>
      <c r="I64" s="118"/>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spans="1:63" s="4" customFormat="1" ht="52" customHeight="1" x14ac:dyDescent="0.2">
      <c r="A65" s="5"/>
      <c r="B65" s="94" t="s">
        <v>125</v>
      </c>
      <c r="C65" s="72" t="s">
        <v>127</v>
      </c>
      <c r="D65" s="84" t="s">
        <v>126</v>
      </c>
      <c r="E65" s="62" t="s">
        <v>147</v>
      </c>
      <c r="F65" s="29" t="s">
        <v>148</v>
      </c>
      <c r="G65" s="57" t="s">
        <v>152</v>
      </c>
      <c r="H65" s="83" t="s">
        <v>20</v>
      </c>
      <c r="I65" s="118"/>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1:63" s="4" customFormat="1" ht="63" customHeight="1" thickBot="1" x14ac:dyDescent="0.25">
      <c r="A66" s="5"/>
      <c r="B66" s="109" t="s">
        <v>54</v>
      </c>
      <c r="C66" s="110" t="s">
        <v>5</v>
      </c>
      <c r="D66" s="65" t="s">
        <v>11</v>
      </c>
      <c r="E66" s="63" t="s">
        <v>47</v>
      </c>
      <c r="F66" s="27" t="s">
        <v>48</v>
      </c>
      <c r="G66" s="54" t="s">
        <v>50</v>
      </c>
      <c r="H66" s="23" t="s">
        <v>52</v>
      </c>
      <c r="I66" s="118"/>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spans="1:63" s="4" customFormat="1" ht="51" customHeight="1" thickBot="1" x14ac:dyDescent="0.25">
      <c r="A67" s="5"/>
      <c r="B67" s="111" t="s">
        <v>54</v>
      </c>
      <c r="C67" s="112" t="s">
        <v>5</v>
      </c>
      <c r="D67" s="113" t="s">
        <v>11</v>
      </c>
      <c r="E67" s="114" t="s">
        <v>47</v>
      </c>
      <c r="F67" s="115" t="s">
        <v>49</v>
      </c>
      <c r="G67" s="116" t="s">
        <v>51</v>
      </c>
      <c r="H67" s="117" t="s">
        <v>20</v>
      </c>
      <c r="I67" s="118"/>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sheetData>
  <sortState xmlns:xlrd2="http://schemas.microsoft.com/office/spreadsheetml/2017/richdata2" ref="B5:H67">
    <sortCondition descending="1" ref="G5:G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Theory of Change</vt:lpstr>
      <vt:lpstr>Plan</vt:lpstr>
      <vt:lpstr>Plan_Sorted_Timeline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Aidah Ssemakula</dc:creator>
  <cp:lastModifiedBy>Aidah Ssemakula</cp:lastModifiedBy>
  <dcterms:created xsi:type="dcterms:W3CDTF">2022-05-23T10:28:45Z</dcterms:created>
  <dcterms:modified xsi:type="dcterms:W3CDTF">2025-06-21T11:20:55Z</dcterms:modified>
</cp:coreProperties>
</file>